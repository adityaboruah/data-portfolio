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adity\Downloads\"/>
    </mc:Choice>
  </mc:AlternateContent>
  <xr:revisionPtr revIDLastSave="0" documentId="8_{4391589D-E94F-4C72-8B43-80BD4F963669}" xr6:coauthVersionLast="47" xr6:coauthVersionMax="47" xr10:uidLastSave="{00000000-0000-0000-0000-000000000000}"/>
  <bookViews>
    <workbookView xWindow="-108" yWindow="-108" windowWidth="23256" windowHeight="12456" activeTab="2" xr2:uid="{8B1A1DFE-EF3F-44E1-9C96-5C58DD316800}"/>
  </bookViews>
  <sheets>
    <sheet name="Raw Data" sheetId="1" r:id="rId1"/>
    <sheet name="Cleaned Data" sheetId="2" r:id="rId2"/>
    <sheet name="Dashboard" sheetId="3" r:id="rId3"/>
  </sheets>
  <definedNames>
    <definedName name="_xlcn.WorksheetConnection_Sheet12A1L1431" hidden="1">'Cleaned Data'!$A$1:$L$143</definedName>
    <definedName name="Slicer_Region">#N/A</definedName>
  </definedNames>
  <calcPr calcId="191029"/>
  <pivotCaches>
    <pivotCache cacheId="64" r:id="rId4"/>
    <pivotCache cacheId="127" r:id="rId5"/>
    <pivotCache cacheId="130" r:id="rId6"/>
    <pivotCache cacheId="133" r:id="rId7"/>
  </pivotCaches>
  <extLst>
    <ext xmlns:x14="http://schemas.microsoft.com/office/spreadsheetml/2009/9/main" uri="{876F7934-8845-4945-9796-88D515C7AA90}">
      <x14:pivotCaches>
        <pivotCache cacheId="4" r:id="rId8"/>
      </x14:pivotCaches>
    </ex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 (2)!$A$1:$L$14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43" i="2" l="1"/>
  <c r="K143" i="2"/>
  <c r="L142" i="2"/>
  <c r="K142" i="2"/>
  <c r="L141" i="2"/>
  <c r="K141" i="2"/>
  <c r="L140" i="2"/>
  <c r="K140" i="2"/>
  <c r="L139" i="2"/>
  <c r="K139" i="2"/>
  <c r="L138" i="2"/>
  <c r="K138" i="2"/>
  <c r="L137" i="2"/>
  <c r="K137" i="2"/>
  <c r="L136" i="2"/>
  <c r="K136" i="2"/>
  <c r="L135" i="2"/>
  <c r="K135" i="2"/>
  <c r="L134" i="2"/>
  <c r="K134" i="2"/>
  <c r="L133" i="2"/>
  <c r="K133" i="2"/>
  <c r="L132" i="2"/>
  <c r="K132" i="2"/>
  <c r="L131" i="2"/>
  <c r="K131" i="2"/>
  <c r="L130" i="2"/>
  <c r="K130" i="2"/>
  <c r="L129" i="2"/>
  <c r="K129" i="2"/>
  <c r="L128" i="2"/>
  <c r="K128" i="2"/>
  <c r="L127" i="2"/>
  <c r="K127" i="2"/>
  <c r="L126" i="2"/>
  <c r="K126" i="2"/>
  <c r="L125" i="2"/>
  <c r="K125" i="2"/>
  <c r="L124" i="2"/>
  <c r="K124" i="2"/>
  <c r="L123" i="2"/>
  <c r="K123" i="2"/>
  <c r="L122" i="2"/>
  <c r="K122" i="2"/>
  <c r="L121" i="2"/>
  <c r="K121" i="2"/>
  <c r="L120" i="2"/>
  <c r="K120" i="2"/>
  <c r="L119" i="2"/>
  <c r="K119" i="2"/>
  <c r="L118" i="2"/>
  <c r="K118" i="2"/>
  <c r="L117" i="2"/>
  <c r="K117" i="2"/>
  <c r="L116" i="2"/>
  <c r="K116" i="2"/>
  <c r="L115" i="2"/>
  <c r="K115" i="2"/>
  <c r="L114" i="2"/>
  <c r="K114" i="2"/>
  <c r="L113" i="2"/>
  <c r="K113" i="2"/>
  <c r="L112" i="2"/>
  <c r="K112" i="2"/>
  <c r="L111" i="2"/>
  <c r="K111" i="2"/>
  <c r="L110" i="2"/>
  <c r="K110" i="2"/>
  <c r="L109" i="2"/>
  <c r="K109" i="2"/>
  <c r="L108" i="2"/>
  <c r="K108" i="2"/>
  <c r="L107" i="2"/>
  <c r="K107" i="2"/>
  <c r="L106" i="2"/>
  <c r="K106" i="2"/>
  <c r="L105" i="2"/>
  <c r="K105" i="2"/>
  <c r="L104" i="2"/>
  <c r="K104" i="2"/>
  <c r="L103" i="2"/>
  <c r="K103" i="2"/>
  <c r="L102" i="2"/>
  <c r="K102" i="2"/>
  <c r="L101" i="2"/>
  <c r="K101" i="2"/>
  <c r="L100" i="2"/>
  <c r="K100" i="2"/>
  <c r="L99" i="2"/>
  <c r="K99" i="2"/>
  <c r="L98" i="2"/>
  <c r="K98" i="2"/>
  <c r="L97" i="2"/>
  <c r="K97" i="2"/>
  <c r="L96" i="2"/>
  <c r="K96" i="2"/>
  <c r="L95" i="2"/>
  <c r="K95" i="2"/>
  <c r="L94" i="2"/>
  <c r="K94" i="2"/>
  <c r="L93" i="2"/>
  <c r="K93" i="2"/>
  <c r="L92" i="2"/>
  <c r="K92" i="2"/>
  <c r="L91" i="2"/>
  <c r="K91" i="2"/>
  <c r="L90" i="2"/>
  <c r="K90" i="2"/>
  <c r="L89" i="2"/>
  <c r="K89" i="2"/>
  <c r="L88" i="2"/>
  <c r="K88" i="2"/>
  <c r="L87" i="2"/>
  <c r="K87" i="2"/>
  <c r="L86" i="2"/>
  <c r="K86" i="2"/>
  <c r="L85" i="2"/>
  <c r="K85" i="2"/>
  <c r="L84" i="2"/>
  <c r="K84" i="2"/>
  <c r="L83" i="2"/>
  <c r="K83" i="2"/>
  <c r="L82" i="2"/>
  <c r="K82" i="2"/>
  <c r="L81" i="2"/>
  <c r="K81" i="2"/>
  <c r="L80" i="2"/>
  <c r="K80" i="2"/>
  <c r="L79" i="2"/>
  <c r="K79" i="2"/>
  <c r="L78" i="2"/>
  <c r="K78" i="2"/>
  <c r="L77" i="2"/>
  <c r="K77" i="2"/>
  <c r="L76" i="2"/>
  <c r="K76" i="2"/>
  <c r="L75" i="2"/>
  <c r="K75" i="2"/>
  <c r="L74" i="2"/>
  <c r="K74" i="2"/>
  <c r="L73" i="2"/>
  <c r="K73" i="2"/>
  <c r="L72" i="2"/>
  <c r="K72" i="2"/>
  <c r="L71" i="2"/>
  <c r="K71" i="2"/>
  <c r="L70" i="2"/>
  <c r="K70" i="2"/>
  <c r="L69" i="2"/>
  <c r="K69" i="2"/>
  <c r="L68" i="2"/>
  <c r="K68" i="2"/>
  <c r="L67" i="2"/>
  <c r="K67" i="2"/>
  <c r="L66" i="2"/>
  <c r="K66" i="2"/>
  <c r="L65" i="2"/>
  <c r="K65" i="2"/>
  <c r="L64" i="2"/>
  <c r="K64" i="2"/>
  <c r="L63" i="2"/>
  <c r="K63" i="2"/>
  <c r="L62" i="2"/>
  <c r="K62" i="2"/>
  <c r="L61" i="2"/>
  <c r="K61" i="2"/>
  <c r="L60" i="2"/>
  <c r="K60" i="2"/>
  <c r="L59" i="2"/>
  <c r="K59" i="2"/>
  <c r="L58" i="2"/>
  <c r="K58" i="2"/>
  <c r="L57" i="2"/>
  <c r="K57" i="2"/>
  <c r="L56" i="2"/>
  <c r="K56" i="2"/>
  <c r="L55" i="2"/>
  <c r="K55" i="2"/>
  <c r="L54" i="2"/>
  <c r="K54" i="2"/>
  <c r="L53" i="2"/>
  <c r="K53" i="2"/>
  <c r="L52" i="2"/>
  <c r="K52" i="2"/>
  <c r="L51" i="2"/>
  <c r="K51" i="2"/>
  <c r="L50" i="2"/>
  <c r="K50" i="2"/>
  <c r="L49" i="2"/>
  <c r="K49" i="2"/>
  <c r="L48" i="2"/>
  <c r="K48" i="2"/>
  <c r="L47" i="2"/>
  <c r="K47" i="2"/>
  <c r="L46" i="2"/>
  <c r="K46" i="2"/>
  <c r="L45" i="2"/>
  <c r="K45" i="2"/>
  <c r="L44" i="2"/>
  <c r="K44" i="2"/>
  <c r="L43" i="2"/>
  <c r="K43" i="2"/>
  <c r="L42" i="2"/>
  <c r="K42" i="2"/>
  <c r="L41" i="2"/>
  <c r="K41" i="2"/>
  <c r="L40" i="2"/>
  <c r="K40" i="2"/>
  <c r="L39" i="2"/>
  <c r="K39" i="2"/>
  <c r="L38" i="2"/>
  <c r="K38" i="2"/>
  <c r="L37" i="2"/>
  <c r="K37" i="2"/>
  <c r="L36" i="2"/>
  <c r="K36" i="2"/>
  <c r="L35" i="2"/>
  <c r="K35" i="2"/>
  <c r="L34" i="2"/>
  <c r="K34" i="2"/>
  <c r="L33" i="2"/>
  <c r="K33" i="2"/>
  <c r="L32" i="2"/>
  <c r="K32" i="2"/>
  <c r="L31" i="2"/>
  <c r="K31" i="2"/>
  <c r="L30" i="2"/>
  <c r="K30" i="2"/>
  <c r="L29" i="2"/>
  <c r="K29" i="2"/>
  <c r="L28" i="2"/>
  <c r="K28" i="2"/>
  <c r="L27" i="2"/>
  <c r="K27" i="2"/>
  <c r="L26" i="2"/>
  <c r="K26" i="2"/>
  <c r="L25" i="2"/>
  <c r="K25" i="2"/>
  <c r="L24" i="2"/>
  <c r="K24" i="2"/>
  <c r="L23" i="2"/>
  <c r="K23" i="2"/>
  <c r="L22" i="2"/>
  <c r="K22" i="2"/>
  <c r="L21" i="2"/>
  <c r="K21" i="2"/>
  <c r="L20" i="2"/>
  <c r="K20" i="2"/>
  <c r="L19" i="2"/>
  <c r="K19" i="2"/>
  <c r="L18" i="2"/>
  <c r="K18" i="2"/>
  <c r="L17" i="2"/>
  <c r="K17" i="2"/>
  <c r="L16" i="2"/>
  <c r="K16" i="2"/>
  <c r="L15" i="2"/>
  <c r="K15" i="2"/>
  <c r="L14" i="2"/>
  <c r="K14" i="2"/>
  <c r="L13" i="2"/>
  <c r="K13" i="2"/>
  <c r="L12" i="2"/>
  <c r="K12" i="2"/>
  <c r="L11" i="2"/>
  <c r="K11" i="2"/>
  <c r="L10" i="2"/>
  <c r="K10" i="2"/>
  <c r="L9" i="2"/>
  <c r="K9" i="2"/>
  <c r="L8" i="2"/>
  <c r="K8" i="2"/>
  <c r="L7" i="2"/>
  <c r="K7" i="2"/>
  <c r="L6" i="2"/>
  <c r="K6" i="2"/>
  <c r="L5" i="2"/>
  <c r="K5" i="2"/>
  <c r="L4" i="2"/>
  <c r="K4" i="2"/>
  <c r="L3" i="2"/>
  <c r="K3" i="2"/>
  <c r="L2" i="2"/>
  <c r="K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ED9609-65D6-470D-AA65-5E4754E04BF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902683B-BB24-48C8-9B13-8017C6778B6B}" name="WorksheetConnection_Sheet1 (2)!$A$1:$L$143" type="102" refreshedVersion="8" minRefreshableVersion="5">
    <extLst>
      <ext xmlns:x15="http://schemas.microsoft.com/office/spreadsheetml/2010/11/main" uri="{DE250136-89BD-433C-8126-D09CA5730AF9}">
        <x15:connection id="Range" autoDelete="1">
          <x15:rangePr sourceName="_xlcn.WorksheetConnection_Sheet12A1L1431"/>
        </x15:connection>
      </ext>
    </extLst>
  </connection>
</connections>
</file>

<file path=xl/sharedStrings.xml><?xml version="1.0" encoding="utf-8"?>
<sst xmlns="http://schemas.openxmlformats.org/spreadsheetml/2006/main" count="610" uniqueCount="451">
  <si>
    <t>Emp Code,Sales Executive,Region,Day1,Day2,Day3,Day4,Day5,Total Sales,Target</t>
  </si>
  <si>
    <t>MUM-TCL001,Raj Verma,Mumbai,45,62,71,38,54,270,500</t>
  </si>
  <si>
    <t>MUM-TCL002,Tanvi Kale,Delhi,52,48,66,59,41,266,500</t>
  </si>
  <si>
    <t>MUM-TCL003,Arvind Sharma,Nagpur,39,55,44,60,72,270,500</t>
  </si>
  <si>
    <t>MUM-TCL004,Tahira Qureshi,Chennai,61,73,58,46,52,290,500</t>
  </si>
  <si>
    <t>MUM-TCL005,Anuj Sharma,Pune,34,49,63,57,68,271,500</t>
  </si>
  <si>
    <t>MUM-TCL006,Syed Sohail,Patna,76,58,41,69,52,296,500</t>
  </si>
  <si>
    <t>MUM-TCL007,Syed Saqib,Ranchi,64,39,55,48,60,266,500</t>
  </si>
  <si>
    <t>MUM-TCL008,Syed Naved,Surat,58,44,72,53,47,274,500</t>
  </si>
  <si>
    <t>MUM-TCL009,Swarnlata Borse,Mumbai,49,66,38,75,41,269,500</t>
  </si>
  <si>
    <t>MUM-TCL010,Sushma Khandelwal,Delhi,57,61,49,52,63,282,500</t>
  </si>
  <si>
    <t>MUM-TCL011,Surendranath Thakur,Nagpur,43,59,71,46,54,273,500</t>
  </si>
  <si>
    <t>MUM-TCL012,Surendra Kumar,Chennai,68,52,47,61,39,267,500</t>
  </si>
  <si>
    <t>MUM-TCL013,Sunita Madnani,Pune,72,45,58,49,66,290,500</t>
  </si>
  <si>
    <t>MUM-TCL014,Sunita Chawla,Patna,51,63,44,70,48,276,500</t>
  </si>
  <si>
    <t>MUM-TCL015,Sunil Kumar,Ranchi,46,57,69,42,53,267,500</t>
  </si>
  <si>
    <t>MUM-TCL016,Sudhir Kumar,Surat,59,41,75,38,62,275,500</t>
  </si>
  <si>
    <t>MUM-TCL017,Sudama Kumar,Mumbai,62,54,46,67,49,278,500</t>
  </si>
  <si>
    <t>MUM-TCL018,Sonaram Munda,Delhi,55,48,64,51,60,278,500</t>
  </si>
  <si>
    <t>MUM-TCL019,Sneh Khan,Nagpur,38,72,53,44,59,266,500</t>
  </si>
  <si>
    <t>MUM-TCL020,Shyam Malakar,Chennai,74,39,61,52,47,273,500</t>
  </si>
  <si>
    <t>MUM-TCL021,Shubhanjali Joshi,Pune,63,58,49,66,54,290,500</t>
  </si>
  <si>
    <t>MUM-TCL022,Ritika Sharma,Patna,47,69,52,43,61,272,500</t>
  </si>
  <si>
    <t>MUM-TCL023,Deepak Yadav,Ranchi,56,41,68,59,45,269,500</t>
  </si>
  <si>
    <t>MUM-TCL024,Neha Singh,Surat,65,53,44,72,38,272,500</t>
  </si>
  <si>
    <t>MUM-TCL025,Karan Mehta,Mumbai,48,60,71,42,57,278,500</t>
  </si>
  <si>
    <t>MUM-TCL026,Pooja Das,Delhi,53,46,62,75,41,277,500</t>
  </si>
  <si>
    <t>MUM-TCL027,Manish Gupta,Nagpur,69,54,39,63,58,283,500</t>
  </si>
  <si>
    <t>MUM-TCL028,Aditi Roy,Chennai,44,73,51,48,66,282,500</t>
  </si>
  <si>
    <t>MUM-TCL029,Vikram Patel,Pune,61,49,67,55,43,275,500</t>
  </si>
  <si>
    <t>MUM-TCL030,Sonia Kapoor,Patna,52,64,45,70,38,269,500</t>
  </si>
  <si>
    <t>MUM-TCL031,Ajay Singh,Ranchi,58,47,72,41,63,281,500</t>
  </si>
  <si>
    <t>MUM-TCL032,Priyanka Shah,Surat,43,66,59,52,74,294,500</t>
  </si>
  <si>
    <t>MUM-TCL033,Rohit Nair,Mumbai,71,38,64,57,49,279,500</t>
  </si>
  <si>
    <t>MUM-TCL034,Nikita Rao,Delhi,49,75,46,61,53,284,500</t>
  </si>
  <si>
    <t>MUM-TCL035,Aman Verma,Nagpur,60,52,68,39,55,274,500</t>
  </si>
  <si>
    <t>MUM-TCL036,Simran Kaur,Chennai,45,63,54,72,41,275,500</t>
  </si>
  <si>
    <t>MUM-TCL037,Rahul Das,Pune,66,48,59,44,70,287,500</t>
  </si>
  <si>
    <t>MUM-TCL038,Sakshi Jain,Patna,53,69,42,61,47,272,500</t>
  </si>
  <si>
    <t>MUM-TCL039,Arjun Reddy,Ranchi,57,41,73,56,49,276,500</t>
  </si>
  <si>
    <t>MUM-TCL040,Kavita Iyer,Surat,62,55,48,67,43,275,500</t>
  </si>
  <si>
    <t>MUM-TCL041,Harsh Vardhan,Mumbai,54,63,47,71,52,287,500</t>
  </si>
  <si>
    <t>MUM-TCL042,Megha Sinha,Delhi,61,45,68,49,57,280,500</t>
  </si>
  <si>
    <t>MUM-TCL043,Nitin Joshi,Nagpur,48,72,53,44,60,277,500</t>
  </si>
  <si>
    <t>MUM-TCL044,Alok Pandey,Chennai,66,51,39,75,46,277,500</t>
  </si>
  <si>
    <t>MUM-TCL045,Divya Nair,Pune,59,64,42,58,73,296,500</t>
  </si>
  <si>
    <t>MUM-TCL046,Gaurav Mishra,Patna,41,57,69,52,48,267,500</t>
  </si>
  <si>
    <t>MUM-TCL047,Komal Arora,Ranchi,74,38,55,61,43,271,500</t>
  </si>
  <si>
    <t>MUM-TCL048,Varun Khanna,Surat,63,49,71,45,58,286,500</t>
  </si>
  <si>
    <t>MUM-TCL049,Ankita Paul,Mumbai,52,67,44,73,39,275,500</t>
  </si>
  <si>
    <t>MUM-TCL050,Rakesh Yadav,Delhi,58,46,62,54,70,290,500</t>
  </si>
  <si>
    <t>MUM-TCL051,Tarun Bose,Nagpur,45,61,53,68,47,274,500</t>
  </si>
  <si>
    <t>MUM-TCL052,Pallavi Shah,Chennai,69,52,48,60,41,270,500</t>
  </si>
  <si>
    <t>MUM-TCL053,Imran Khan,Pune,56,74,39,51,63,283,500</t>
  </si>
  <si>
    <t>MUM-TCL054,Sheetal Patil,Patna,62,43,67,55,49,276,500</t>
  </si>
  <si>
    <t>MUM-TCL055,Rohini Iyer,Ranchi,47,66,58,42,71,284,500</t>
  </si>
  <si>
    <t>MUM-TCL056,Sachin Thakur,Surat,73,54,46,63,38,274,500</t>
  </si>
  <si>
    <t>MUM-TCL057,Anjali Menon,Mumbai,51,69,44,57,62,283,500</t>
  </si>
  <si>
    <t>MUM-TCL058,Kishore Rao,Delhi,64,48,72,41,59,284,500</t>
  </si>
  <si>
    <t>MUM-TCL059,Naveen Pillai,Nagpur,55,63,47,70,52,287,500</t>
  </si>
  <si>
    <t>MUM-TCL060,Preeti Kapoor,Chennai,68,45,61,53,74,301,500</t>
  </si>
  <si>
    <t>MUM-TCL061,Ashok Das,Pune,43,58,69,47,60,277,500</t>
  </si>
  <si>
    <t>MUM-TCL062,Monika Jain,Patna,57,41,75,54,46,273,500</t>
  </si>
  <si>
    <t>MUM-TCL063,Sanjay Roy,Ranchi,60,52,48,67,55,282,500</t>
  </si>
  <si>
    <t>MUM-TCL064,Priyanka Nair,Surat,49,71,44,63,58,285,500</t>
  </si>
  <si>
    <t>MUM-TCL065,Vishal Mehta,Mumbai,72,39,66,51,43,271,500</t>
  </si>
  <si>
    <t>MUM-TCL066,Neeraj Singh,Delhi,54,62,47,59,70,292,500</t>
  </si>
  <si>
    <t>MUM-TCL067,Ayesha Khan,Nagpur,61,48,73,42,56,280,500</t>
  </si>
  <si>
    <t>MUM-TCL068,Rituraj Das,Chennai,45,67,52,60,41,265,500</t>
  </si>
  <si>
    <t>MUM-TCL069,Smita Kulkarni,Pune,58,49,64,75,38,284,500</t>
  </si>
  <si>
    <t>MUM-TCL070,Hemant Joshi,Patna,63,55,46,68,52,284,500</t>
  </si>
  <si>
    <t>MUM-TCL071,Kajal Verma,Ranchi,50,72,39,57,61,279,500</t>
  </si>
  <si>
    <t>MUM-TCL072,Arpit Shah,Surat,67,44,71,53,48,283,500</t>
  </si>
  <si>
    <t>MUM-TCL073,Rina Paul,Mumbai,53,61,45,74,42,275,500</t>
  </si>
  <si>
    <t>MUM-TCL074,Manoj Tiwari,Delhi,59,48,66,41,73,287,500</t>
  </si>
  <si>
    <t>MUM-TCL075,Sneha Kapoor,Nagpur,62,54,47,69,55,287,500</t>
  </si>
  <si>
    <t>MUM-TCL076,Karthik Iyer,Chennai,46,73,52,60,44,275,500</t>
  </si>
  <si>
    <t>MUM-TCL077,Payal Sharma,Pune,71,39,64,48,58,280,500</t>
  </si>
  <si>
    <t>MUM-TCL078,Amit Soni,Patna,55,68,43,61,47,274,500</t>
  </si>
  <si>
    <t>MUM-TCL079,Nidhi Gupta,Ranchi,60,45,72,54,49,280,500</t>
  </si>
  <si>
    <t>MUM-TCL080,Faizan Ali,Surat,48,63,57,42,75,285,500</t>
  </si>
  <si>
    <t>MUM-TCL081,Suresh Babu,Mumbai,66,52,44,70,41,273,500</t>
  </si>
  <si>
    <t>MUM-TCL082,Mitali Sen,Delhi,53,74,39,58,62,286,500</t>
  </si>
  <si>
    <t>MUM-TCL083,Arun Kumar,Nagpur,61,47,68,55,43,274,500</t>
  </si>
  <si>
    <t>MUM-TCL084,Divyanshi Rao,Chennai,49,66,52,73,40,280,500</t>
  </si>
  <si>
    <t>MUM-TCL085,Prakash Jha,Pune,72,44,63,51,59,289,500</t>
  </si>
  <si>
    <t>MUM-TCL086,Ruchi Malhotra,Patna,58,61,45,69,54,287,500</t>
  </si>
  <si>
    <t>MUM-TCL087,Sameer Khan,Ranchi,45,70,53,41,67,276,500</t>
  </si>
  <si>
    <t>MUM-TCL088,Neha Arora,Surat,63,48,74,52,46,283,500</t>
  </si>
  <si>
    <t>MUM-TCL089,Rajesh Pillai,Mumbai,54,67,42,60,71,294,500</t>
  </si>
  <si>
    <t>MUM-TCL090,Anita Desai,Delhi,69,51,47,63,55,285,500</t>
  </si>
  <si>
    <t>MUM-TCL091,Kunal Sharma,Nagpur,52,64,39,75,48,278,500</t>
  </si>
  <si>
    <t>MUM-TCL092,Shreya Nair,Chennai,60,43,72,54,49,278,500</t>
  </si>
  <si>
    <t>MUM-TCL093,Ravi Teja,Pune,47,68,55,41,63,274,500</t>
  </si>
  <si>
    <t>MUM-TCL094,Poonam Yadav,Patna,71,49,64,58,42,284,500</t>
  </si>
  <si>
    <t>MUM-TCL095,Aakash Verma,Ranchi,56,62,48,73,39,278,500</t>
  </si>
  <si>
    <t>MUM-TCL096,Lavanya Iyer,Surat,63,45,69,52,57,286,500</t>
  </si>
  <si>
    <t>MUM-TCL097,Narendra Singh,Mumbai,50,74,41,60,53,278,500</t>
  </si>
  <si>
    <t>MUM-TCL098,Tanya Mehta,Delhi,68,52,44,71,46,281,500</t>
  </si>
  <si>
    <t>MUM-TCL099,Harleen Kaur,Nagpur,55,63,47,58,72,295,500</t>
  </si>
  <si>
    <t>MUM-TCL100,Dev Malhotra,Chennai,61,48,75,42,59,285,500</t>
  </si>
  <si>
    <t>MUM-TCL101,Yogesh Patil,Pune,46,69,52,64,41,272,500</t>
  </si>
  <si>
    <t>MUM-TCL102,Ishita Roy,Patna,73,44,60,53,48,278,500</t>
  </si>
  <si>
    <t>MUM-TCL103,Mohit Sinha,Ranchi,58,67,39,71,45,280,500</t>
  </si>
  <si>
    <t>MUM-TCL104,Charu Jain,Surat,64,52,48,63,70,297,500</t>
  </si>
  <si>
    <t>MUM-TCL105,Siddharth Rao,Mumbai,49,61,73,44,56,283,500</t>
  </si>
  <si>
    <t>MUM-TCL106,Radhika Menon,Delhi,62,45,68,57,41,273,500</t>
  </si>
  <si>
    <t>MUM-TCL107,Vivek Thakur,Nagpur,54,72,46,59,53,284,500</t>
  </si>
  <si>
    <t>MUM-TCL108,Aarti Singh,Chennai,69,48,63,52,74,306,500</t>
  </si>
  <si>
    <t>MUM-TCL109,Manav Gupta,Pune,57,66,41,75,49,288,500</t>
  </si>
  <si>
    <t>MUM-TCL110,Rekha Das,Patna,63,44,71,58,52,288,500</t>
  </si>
  <si>
    <t>MUM-TCL111,Adarsh Nair,Ranchi,52,68,47,60,39,266,500</t>
  </si>
  <si>
    <t>MUM-TCL112,Komal Sharma,Surat,74,51,44,67,55,291,500</t>
  </si>
  <si>
    <t>MUM-TCL113,Ritesh Yadav,Mumbai,45,62,69,53,48,277,500</t>
  </si>
  <si>
    <t>MUM-TCL114,Anamika Roy,Delhi,61,47,72,54,43,277,500</t>
  </si>
  <si>
    <t>MUM-TCL115,Pranav Joshi,Nagpur,58,63,45,70,52,288,500</t>
  </si>
  <si>
    <t>MUM-TCL116,Saloni Kapoor,Chennai,66,49,74,41,59,289,500</t>
  </si>
  <si>
    <t>MUM-TCL117,Deepika Shah,Pune,53,71,42,60,48,274,500</t>
  </si>
  <si>
    <t>MUM-TCL118,Rohan Mehta,Patna,72,44,65,57,39,277,500</t>
  </si>
  <si>
    <t>MUM-TCL119,Meera Iyer,Ranchi,60,52,47,69,54,282,500</t>
  </si>
  <si>
    <t>MUM-TCL120,Aman Khurana,Surat,49,63,75,48,41,276,500</t>
  </si>
  <si>
    <t>MUM-TCL121,Shruti Nair,Mumbai,67,45,58,72,43,285,500</t>
  </si>
  <si>
    <t>MUM-TCL122,Rajiv Sinha,Delhi,55,74,39,61,52,281,500</t>
  </si>
  <si>
    <t>MUM-TCL123,Ananya Das,Nagpur,63,48,71,54,46,282,500</t>
  </si>
  <si>
    <t>MUM-TCL124,Kabir Khan,Chennai,50,69,44,60,73,296,500</t>
  </si>
  <si>
    <t>MUM-TCL125,Sanya Verma,Pune,62,47,68,55,41,273,500</t>
  </si>
  <si>
    <t>MUM-TCL126,Ramesh Patel,Patna,58,63,45,72,49,287,500</t>
  </si>
  <si>
    <t>MUM-TCL127,Juhi Sharma,Ranchi,46,71,52,59,43,271,500</t>
  </si>
  <si>
    <t>MUM-TCL128,Aryan Singh,Surat,73,44,60,48,67,292,500</t>
  </si>
  <si>
    <t>MUM-TCL129,Palak Jain,Mumbai,54,62,47,75,38,276,500</t>
  </si>
  <si>
    <t>MUM-TCL130,Shivam Gupta,Delhi,61,49,72,53,44,279,500</t>
  </si>
  <si>
    <t>MUM-TCL131,Neelam Roy,Nagpur,58,66,41,70,52,287,500</t>
  </si>
  <si>
    <t>MUM-TCL132,Aditya Nair,Chennai,63,45,69,54,47,278,500</t>
  </si>
  <si>
    <t>MUM-TCL133,Tarini Iyer,Pune,72,48,64,51,59,294,500</t>
  </si>
  <si>
    <t>MUM-TCL134,Keshav Kumar,Patna,55,74,39,60,43,271,500</t>
  </si>
  <si>
    <t>MUM-TCL135,Reena Das,Ranchi,60,52,73,44,48,277,500</t>
  </si>
  <si>
    <t>MUM-TCL136,Aarav Mehta,Surat,47,68,55,63,41,274,500</t>
  </si>
  <si>
    <t>MUM-TCL137,Simran Roy,Mumbai,69,44,60,75,49,297,500</t>
  </si>
  <si>
    <t>MUM-TCL138,Vinay Sharma,Delhi,58,63,47,52,71,291,500</t>
  </si>
  <si>
    <t>MUM-TCL139,Kriti Kapoor,Nagpur,64,48,72,41,59,284,500</t>
  </si>
  <si>
    <t>MUM-TCL140,Harshit Jain,Chennai,53,71,42,60,48,274,500</t>
  </si>
  <si>
    <t>MUM-TCL141,Rupal Shah,Pune,62,45,69,57,43,276,500</t>
  </si>
  <si>
    <t>MUM-TCL142,Sahil Verma,Patna,74,49,63,52,46,284,500</t>
  </si>
  <si>
    <t>Emp Code</t>
  </si>
  <si>
    <t>Sales Executive</t>
  </si>
  <si>
    <t>Region</t>
  </si>
  <si>
    <t>Day1</t>
  </si>
  <si>
    <t>Day2</t>
  </si>
  <si>
    <t>Day3</t>
  </si>
  <si>
    <t>Day4</t>
  </si>
  <si>
    <t>Day5</t>
  </si>
  <si>
    <t>Total Sales</t>
  </si>
  <si>
    <t>Target</t>
  </si>
  <si>
    <t>MUM-TCL001</t>
  </si>
  <si>
    <t>Raj Verma</t>
  </si>
  <si>
    <t>Mumbai</t>
  </si>
  <si>
    <t>MUM-TCL002</t>
  </si>
  <si>
    <t>Tanvi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</si>
  <si>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</si>
  <si>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</si>
  <si>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</si>
  <si>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</si>
  <si>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</si>
  <si>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</si>
  <si>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</si>
  <si>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</si>
  <si>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</si>
  <si>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</si>
  <si>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</si>
  <si>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</si>
  <si>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</si>
  <si>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</si>
  <si>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</si>
  <si>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</si>
  <si>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</si>
  <si>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</si>
  <si>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</si>
  <si>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</si>
  <si>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</si>
  <si>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</si>
  <si>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</si>
  <si>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</si>
  <si>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</si>
  <si>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</si>
  <si>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</si>
  <si>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</si>
  <si>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</si>
  <si>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</si>
  <si>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</si>
  <si>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</si>
  <si>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</si>
  <si>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</si>
  <si>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</si>
  <si>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</si>
  <si>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</si>
  <si>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</si>
  <si>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</si>
  <si>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</si>
  <si>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</si>
  <si>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</si>
  <si>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 Malakar</t>
  </si>
  <si>
    <t>MUM-TCL021</t>
  </si>
  <si>
    <t>Shubhanjali Joshi</t>
  </si>
  <si>
    <t>MUM-TCL022</t>
  </si>
  <si>
    <t>Ritika Sharma</t>
  </si>
  <si>
    <t>MUM-TCL023</t>
  </si>
  <si>
    <t>Deepak Yadav</t>
  </si>
  <si>
    <t>MUM-TCL024</t>
  </si>
  <si>
    <t>Neha Singh</t>
  </si>
  <si>
    <t>MUM-TCL025</t>
  </si>
  <si>
    <t>Karan Mehta</t>
  </si>
  <si>
    <t>MUM-TCL026</t>
  </si>
  <si>
    <t>Pooja Das</t>
  </si>
  <si>
    <t>MUM-TCL027</t>
  </si>
  <si>
    <t>Manish Gupta</t>
  </si>
  <si>
    <t>MUM-TCL028</t>
  </si>
  <si>
    <t>Aditi Roy</t>
  </si>
  <si>
    <t>MUM-TCL029</t>
  </si>
  <si>
    <t>Vikram Patel</t>
  </si>
  <si>
    <t>MUM-TCL030</t>
  </si>
  <si>
    <t>Sonia Kapoor</t>
  </si>
  <si>
    <t>MUM-TCL031</t>
  </si>
  <si>
    <t>Ajay Singh</t>
  </si>
  <si>
    <t>MUM-TCL032</t>
  </si>
  <si>
    <t>Priyanka Shah</t>
  </si>
  <si>
    <t>MUM-TCL033</t>
  </si>
  <si>
    <t>Rohit Nair</t>
  </si>
  <si>
    <t>MUM-TCL034</t>
  </si>
  <si>
    <t>Nikita Rao</t>
  </si>
  <si>
    <t>MUM-TCL035</t>
  </si>
  <si>
    <t>Aman Verma</t>
  </si>
  <si>
    <t>MUM-TCL036</t>
  </si>
  <si>
    <t>Simran Kaur</t>
  </si>
  <si>
    <t>MUM-TCL037</t>
  </si>
  <si>
    <t>Rahul Das</t>
  </si>
  <si>
    <t>MUM-TCL038</t>
  </si>
  <si>
    <t>Sakshi Jain</t>
  </si>
  <si>
    <t>MUM-TCL039</t>
  </si>
  <si>
    <t>Arjun Reddy</t>
  </si>
  <si>
    <t>MUM-TCL040</t>
  </si>
  <si>
    <t>Kavita Iyer</t>
  </si>
  <si>
    <t>MUM-TCL041</t>
  </si>
  <si>
    <t>Harsh Vardhan</t>
  </si>
  <si>
    <t>MUM-TCL042</t>
  </si>
  <si>
    <t>Megha Sinha</t>
  </si>
  <si>
    <t>MUM-TCL043</t>
  </si>
  <si>
    <t>Nitin Joshi</t>
  </si>
  <si>
    <t>MUM-TCL044</t>
  </si>
  <si>
    <t>Alok Pandey</t>
  </si>
  <si>
    <t>MUM-TCL045</t>
  </si>
  <si>
    <t>Divya Nair</t>
  </si>
  <si>
    <t>MUM-TCL046</t>
  </si>
  <si>
    <t>Gaurav Mishra</t>
  </si>
  <si>
    <t>MUM-TCL047</t>
  </si>
  <si>
    <t>Komal Arora</t>
  </si>
  <si>
    <t>MUM-TCL048</t>
  </si>
  <si>
    <t>Varun Khanna</t>
  </si>
  <si>
    <t>MUM-TCL049</t>
  </si>
  <si>
    <t>Ankita Paul</t>
  </si>
  <si>
    <t>MUM-TCL050</t>
  </si>
  <si>
    <t>Rakesh Yadav</t>
  </si>
  <si>
    <t>MUM-TCL051</t>
  </si>
  <si>
    <t>Tarun Bose</t>
  </si>
  <si>
    <t>MUM-TCL052</t>
  </si>
  <si>
    <t>Pallavi Shah</t>
  </si>
  <si>
    <t>MUM-TCL053</t>
  </si>
  <si>
    <t>Imran Khan</t>
  </si>
  <si>
    <t>MUM-TCL054</t>
  </si>
  <si>
    <t>Sheetal Patil</t>
  </si>
  <si>
    <t>MUM-TCL055</t>
  </si>
  <si>
    <t>Rohini Iyer</t>
  </si>
  <si>
    <t>MUM-TCL056</t>
  </si>
  <si>
    <t>Sachin Thakur</t>
  </si>
  <si>
    <t>MUM-TCL057</t>
  </si>
  <si>
    <t>Anjali Menon</t>
  </si>
  <si>
    <t>MUM-TCL058</t>
  </si>
  <si>
    <t>Kishore Rao</t>
  </si>
  <si>
    <t>MUM-TCL059</t>
  </si>
  <si>
    <t>Naveen Pillai</t>
  </si>
  <si>
    <t>MUM-TCL060</t>
  </si>
  <si>
    <t>Preeti Kapoor</t>
  </si>
  <si>
    <t>MUM-TCL061</t>
  </si>
  <si>
    <t>Ashok Das</t>
  </si>
  <si>
    <t>MUM-TCL062</t>
  </si>
  <si>
    <t>Monika Jain</t>
  </si>
  <si>
    <t>MUM-TCL063</t>
  </si>
  <si>
    <t>Sanjay Roy</t>
  </si>
  <si>
    <t>MUM-TCL064</t>
  </si>
  <si>
    <t>Priyanka Nair</t>
  </si>
  <si>
    <t>MUM-TCL065</t>
  </si>
  <si>
    <t>Vishal Mehta</t>
  </si>
  <si>
    <t>MUM-TCL066</t>
  </si>
  <si>
    <t>Neeraj Singh</t>
  </si>
  <si>
    <t>MUM-TCL067</t>
  </si>
  <si>
    <t>Ayesha Khan</t>
  </si>
  <si>
    <t>MUM-TCL068</t>
  </si>
  <si>
    <t>Rituraj Das</t>
  </si>
  <si>
    <t>MUM-TCL069</t>
  </si>
  <si>
    <t>Smita Kulkarni</t>
  </si>
  <si>
    <t>MUM-TCL070</t>
  </si>
  <si>
    <t>Hemant Joshi</t>
  </si>
  <si>
    <t>MUM-TCL071</t>
  </si>
  <si>
    <t>Kajal Verma</t>
  </si>
  <si>
    <t>MUM-TCL072</t>
  </si>
  <si>
    <t>Arpit Shah</t>
  </si>
  <si>
    <t>MUM-TCL073</t>
  </si>
  <si>
    <t>Rina Paul</t>
  </si>
  <si>
    <t>MUM-TCL074</t>
  </si>
  <si>
    <t>Manoj Tiwari</t>
  </si>
  <si>
    <t>MUM-TCL075</t>
  </si>
  <si>
    <t>Sneha Kapoor</t>
  </si>
  <si>
    <t>MUM-TCL076</t>
  </si>
  <si>
    <t>Karthik Iyer</t>
  </si>
  <si>
    <t>MUM-TCL077</t>
  </si>
  <si>
    <t>Payal Sharma</t>
  </si>
  <si>
    <t>MUM-TCL078</t>
  </si>
  <si>
    <t>Amit Soni</t>
  </si>
  <si>
    <t>MUM-TCL079</t>
  </si>
  <si>
    <t>Nidhi Gupta</t>
  </si>
  <si>
    <t>MUM-TCL080</t>
  </si>
  <si>
    <t>Faizan Ali</t>
  </si>
  <si>
    <t>MUM-TCL081</t>
  </si>
  <si>
    <t>Suresh Babu</t>
  </si>
  <si>
    <t>MUM-TCL082</t>
  </si>
  <si>
    <t>Mitali Sen</t>
  </si>
  <si>
    <t>MUM-TCL083</t>
  </si>
  <si>
    <t>Arun Kumar</t>
  </si>
  <si>
    <t>MUM-TCL084</t>
  </si>
  <si>
    <t>Divyanshi Rao</t>
  </si>
  <si>
    <t>MUM-TCL085</t>
  </si>
  <si>
    <t>Prakash Jha</t>
  </si>
  <si>
    <t>MUM-TCL086</t>
  </si>
  <si>
    <t>Ruchi Malhotra</t>
  </si>
  <si>
    <t>MUM-TCL087</t>
  </si>
  <si>
    <t>Sameer Khan</t>
  </si>
  <si>
    <t>MUM-TCL088</t>
  </si>
  <si>
    <t>Neha Arora</t>
  </si>
  <si>
    <t>MUM-TCL089</t>
  </si>
  <si>
    <t>Rajesh Pillai</t>
  </si>
  <si>
    <t>MUM-TCL090</t>
  </si>
  <si>
    <t>Anita Desai</t>
  </si>
  <si>
    <t>MUM-TCL091</t>
  </si>
  <si>
    <t>Kunal Sharma</t>
  </si>
  <si>
    <t>MUM-TCL092</t>
  </si>
  <si>
    <t>Shreya Nair</t>
  </si>
  <si>
    <t>MUM-TCL093</t>
  </si>
  <si>
    <t>Ravi Teja</t>
  </si>
  <si>
    <t>MUM-TCL094</t>
  </si>
  <si>
    <t>Poonam Yadav</t>
  </si>
  <si>
    <t>MUM-TCL095</t>
  </si>
  <si>
    <t>Aakash Verma</t>
  </si>
  <si>
    <t>MUM-TCL096</t>
  </si>
  <si>
    <t>Lavanya Iyer</t>
  </si>
  <si>
    <t>MUM-TCL097</t>
  </si>
  <si>
    <t>Narendra Singh</t>
  </si>
  <si>
    <t>MUM-TCL098</t>
  </si>
  <si>
    <t>Tanya Mehta</t>
  </si>
  <si>
    <t>MUM-TCL099</t>
  </si>
  <si>
    <t>Harleen Kaur</t>
  </si>
  <si>
    <t>MUM-TCL100</t>
  </si>
  <si>
    <t>Dev Malhotra</t>
  </si>
  <si>
    <t>MUM-TCL101</t>
  </si>
  <si>
    <t>Yogesh Patil</t>
  </si>
  <si>
    <t>MUM-TCL102</t>
  </si>
  <si>
    <t>Ishita Roy</t>
  </si>
  <si>
    <t>MUM-TCL103</t>
  </si>
  <si>
    <t>Mohit Sinha</t>
  </si>
  <si>
    <t>MUM-TCL104</t>
  </si>
  <si>
    <t>Charu Jain</t>
  </si>
  <si>
    <t>MUM-TCL105</t>
  </si>
  <si>
    <t>Siddharth Rao</t>
  </si>
  <si>
    <t>MUM-TCL106</t>
  </si>
  <si>
    <t>Radhika Menon</t>
  </si>
  <si>
    <t>MUM-TCL107</t>
  </si>
  <si>
    <t>Vivek Thakur</t>
  </si>
  <si>
    <t>MUM-TCL108</t>
  </si>
  <si>
    <t>Aarti Singh</t>
  </si>
  <si>
    <t>MUM-TCL109</t>
  </si>
  <si>
    <t>Manav Gupta</t>
  </si>
  <si>
    <t>MUM-TCL110</t>
  </si>
  <si>
    <t>Rekha Das</t>
  </si>
  <si>
    <t>MUM-TCL111</t>
  </si>
  <si>
    <t>Adarsh Nair</t>
  </si>
  <si>
    <t>MUM-TCL112</t>
  </si>
  <si>
    <t>Komal Sharma</t>
  </si>
  <si>
    <t>MUM-TCL113</t>
  </si>
  <si>
    <t>Ritesh Yadav</t>
  </si>
  <si>
    <t>MUM-TCL114</t>
  </si>
  <si>
    <t>Anamika Roy</t>
  </si>
  <si>
    <t>MUM-TCL115</t>
  </si>
  <si>
    <t>Pranav Joshi</t>
  </si>
  <si>
    <t>MUM-TCL116</t>
  </si>
  <si>
    <t>Saloni Kapoor</t>
  </si>
  <si>
    <t>MUM-TCL117</t>
  </si>
  <si>
    <t>Deepika Shah</t>
  </si>
  <si>
    <t>MUM-TCL118</t>
  </si>
  <si>
    <t>Rohan Mehta</t>
  </si>
  <si>
    <t>MUM-TCL119</t>
  </si>
  <si>
    <t>Meera Iyer</t>
  </si>
  <si>
    <t>MUM-TCL120</t>
  </si>
  <si>
    <t>Aman Khurana</t>
  </si>
  <si>
    <t>MUM-TCL121</t>
  </si>
  <si>
    <t>Shruti Nair</t>
  </si>
  <si>
    <t>MUM-TCL122</t>
  </si>
  <si>
    <t>Rajiv Sinha</t>
  </si>
  <si>
    <t>MUM-TCL123</t>
  </si>
  <si>
    <t>Ananya Das</t>
  </si>
  <si>
    <t>MUM-TCL124</t>
  </si>
  <si>
    <t>Kabir Khan</t>
  </si>
  <si>
    <t>MUM-TCL125</t>
  </si>
  <si>
    <t>Sanya Verma</t>
  </si>
  <si>
    <t>MUM-TCL126</t>
  </si>
  <si>
    <t>Ramesh Patel</t>
  </si>
  <si>
    <t>MUM-TCL127</t>
  </si>
  <si>
    <t>Juhi Sharma</t>
  </si>
  <si>
    <t>MUM-TCL128</t>
  </si>
  <si>
    <t>Aryan Singh</t>
  </si>
  <si>
    <t>MUM-TCL129</t>
  </si>
  <si>
    <t>Palak Jain</t>
  </si>
  <si>
    <t>MUM-TCL130</t>
  </si>
  <si>
    <t>Shivam Gupta</t>
  </si>
  <si>
    <t>MUM-TCL131</t>
  </si>
  <si>
    <t>Neelam Roy</t>
  </si>
  <si>
    <t>MUM-TCL132</t>
  </si>
  <si>
    <t>Aditya Nair</t>
  </si>
  <si>
    <t>MUM-TCL133</t>
  </si>
  <si>
    <t>Tarini Iyer</t>
  </si>
  <si>
    <t>MUM-TCL134</t>
  </si>
  <si>
    <t>Keshav Kumar</t>
  </si>
  <si>
    <t>MUM-TCL135</t>
  </si>
  <si>
    <t>Reena Das</t>
  </si>
  <si>
    <t>MUM-TCL136</t>
  </si>
  <si>
    <t>Aarav Mehta</t>
  </si>
  <si>
    <t>MUM-TCL137</t>
  </si>
  <si>
    <t>Simran Roy</t>
  </si>
  <si>
    <t>MUM-TCL138</t>
  </si>
  <si>
    <t>Vinay Sharma</t>
  </si>
  <si>
    <t>MUM-TCL139</t>
  </si>
  <si>
    <t>Kriti Kapoor</t>
  </si>
  <si>
    <t>MUM-TCL140</t>
  </si>
  <si>
    <t>Harshit Jain</t>
  </si>
  <si>
    <t>MUM-TCL141</t>
  </si>
  <si>
    <t>Rupal Shah</t>
  </si>
  <si>
    <t>MUM-TCL142</t>
  </si>
  <si>
    <t>Sahil Verma</t>
  </si>
  <si>
    <t>Target Hit %</t>
  </si>
  <si>
    <t>Away from Target %</t>
  </si>
  <si>
    <t xml:space="preserve">Total Sales </t>
  </si>
  <si>
    <t>Target Hit % wise</t>
  </si>
  <si>
    <t>Away from Target % wise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</si>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</sst>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Aptos Narrow"/>
      <family val="2"/>
      <scheme val="minor"/>
    </font>
    <font>
      <sz val="11"/>
      <color theme="1"/>
      <name val="Aptos Narrow"/>
      <family val="2"/>
      <scheme val="minor"/>
    </font>
    <font>
      <sz val="11"/>
      <color theme="0"/>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3" tint="0.749992370372631"/>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10" fontId="0" fillId="0" borderId="0" xfId="0" applyNumberFormat="1"/>
    <xf numFmtId="0" fontId="0" fillId="2" borderId="1" xfId="0" applyFill="1" applyBorder="1"/>
    <xf numFmtId="0" fontId="0" fillId="3" borderId="1" xfId="0" applyFill="1" applyBorder="1"/>
    <xf numFmtId="10" fontId="0" fillId="3" borderId="1" xfId="0" applyNumberFormat="1" applyFill="1" applyBorder="1"/>
    <xf numFmtId="0" fontId="0" fillId="0" borderId="0" xfId="0" pivotButton="1"/>
    <xf numFmtId="0" fontId="0" fillId="0" borderId="0" xfId="0" applyAlignment="1">
      <alignment horizontal="left"/>
    </xf>
    <xf numFmtId="10" fontId="0" fillId="3" borderId="1" xfId="1" applyNumberFormat="1" applyFont="1" applyFill="1" applyBorder="1"/>
    <xf numFmtId="0" fontId="2" fillId="4" borderId="0" xfId="0" applyFont="1" applyFill="1"/>
    <xf numFmtId="0" fontId="0" fillId="0" borderId="0" xfId="0" applyNumberFormat="1"/>
    <xf numFmtId="0" fontId="0" fillId="0" borderId="0" xfId="0" applyFont="1"/>
  </cellXfs>
  <cellStyles count="2">
    <cellStyle name="Normal" xfId="0" builtinId="0"/>
    <cellStyle name="Percent" xfId="1" builtinId="5"/>
  </cellStyles>
  <dxfs count="1">
    <dxf>
      <fill>
        <patternFill>
          <bgColor theme="1" tint="0.34998626667073579"/>
        </patternFill>
      </fill>
    </dxf>
  </dxfs>
  <tableStyles count="1" defaultTableStyle="TableStyleMedium2" defaultPivotStyle="PivotStyleLight16">
    <tableStyle name="Slicer Style 1" pivot="0" table="0" count="5" xr9:uid="{8232652F-1C98-4F04-8843-1DEEA4A64B34}">
      <tableStyleElement type="wholeTable" dxfId="0"/>
    </tableStyle>
  </tableStyles>
  <extLst>
    <ext xmlns:x14="http://schemas.microsoft.com/office/spreadsheetml/2009/9/main" uri="{46F421CA-312F-682f-3DD2-61675219B42D}">
      <x14:dxfs count="4">
        <dxf>
          <fill>
            <patternFill>
              <bgColor theme="5" tint="0.59996337778862885"/>
            </patternFill>
          </fill>
        </dxf>
        <dxf>
          <fill>
            <patternFill>
              <bgColor theme="5"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4.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connections" Target="connections.xml"/><Relationship Id="rId5" Type="http://schemas.openxmlformats.org/officeDocument/2006/relationships/pivotCacheDefinition" Target="pivotCache/pivotCacheDefinition2.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report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tx2">
                <a:lumMod val="25000"/>
                <a:lumOff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714977219269714"/>
          <c:y val="7.5914423740510703E-2"/>
          <c:w val="0.72146572818352561"/>
          <c:h val="0.8481711525189785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tx2">
                  <a:lumMod val="25000"/>
                  <a:lumOff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Divya Nair</c:v>
                </c:pt>
                <c:pt idx="1">
                  <c:v>Prakash Jha</c:v>
                </c:pt>
                <c:pt idx="2">
                  <c:v>Shubhanjali Joshi</c:v>
                </c:pt>
                <c:pt idx="3">
                  <c:v>Sunita Madnani</c:v>
                </c:pt>
                <c:pt idx="4">
                  <c:v>Tarini Iyer</c:v>
                </c:pt>
              </c:strCache>
            </c:strRef>
          </c:cat>
          <c:val>
            <c:numRef>
              <c:f>Dashboard!$B$4:$B$8</c:f>
              <c:numCache>
                <c:formatCode>General</c:formatCode>
                <c:ptCount val="5"/>
                <c:pt idx="0">
                  <c:v>296</c:v>
                </c:pt>
                <c:pt idx="1">
                  <c:v>289</c:v>
                </c:pt>
                <c:pt idx="2">
                  <c:v>290</c:v>
                </c:pt>
                <c:pt idx="3">
                  <c:v>290</c:v>
                </c:pt>
                <c:pt idx="4">
                  <c:v>294</c:v>
                </c:pt>
              </c:numCache>
            </c:numRef>
          </c:val>
          <c:extLst>
            <c:ext xmlns:c16="http://schemas.microsoft.com/office/drawing/2014/chart" uri="{C3380CC4-5D6E-409C-BE32-E72D297353CC}">
              <c16:uniqueId val="{00000000-D296-47F9-82E0-800A28DEC12C}"/>
            </c:ext>
          </c:extLst>
        </c:ser>
        <c:dLbls>
          <c:showLegendKey val="0"/>
          <c:showVal val="0"/>
          <c:showCatName val="0"/>
          <c:showSerName val="0"/>
          <c:showPercent val="0"/>
          <c:showBubbleSize val="0"/>
        </c:dLbls>
        <c:gapWidth val="182"/>
        <c:axId val="1371771872"/>
        <c:axId val="1371772352"/>
      </c:barChart>
      <c:catAx>
        <c:axId val="1371771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772352"/>
        <c:crosses val="autoZero"/>
        <c:auto val="1"/>
        <c:lblAlgn val="ctr"/>
        <c:lblOffset val="100"/>
        <c:noMultiLvlLbl val="0"/>
      </c:catAx>
      <c:valAx>
        <c:axId val="1371772352"/>
        <c:scaling>
          <c:orientation val="minMax"/>
        </c:scaling>
        <c:delete val="1"/>
        <c:axPos val="b"/>
        <c:numFmt formatCode="General" sourceLinked="1"/>
        <c:majorTickMark val="none"/>
        <c:minorTickMark val="none"/>
        <c:tickLblPos val="nextTo"/>
        <c:crossAx val="1371771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report 1.xlsm]Dashboard!PivotTable5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CD9-4E3A-B6DA-3F94C044AB1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CD9-4E3A-B6DA-3F94C044AB1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CD9-4E3A-B6DA-3F94C044AB1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CD9-4E3A-B6DA-3F94C044AB1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CD9-4E3A-B6DA-3F94C044AB1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Aarti Singh</c:v>
                </c:pt>
                <c:pt idx="1">
                  <c:v>Charu Jain</c:v>
                </c:pt>
                <c:pt idx="2">
                  <c:v>Divya Nair</c:v>
                </c:pt>
                <c:pt idx="3">
                  <c:v>Preeti Kapoor</c:v>
                </c:pt>
                <c:pt idx="4">
                  <c:v>Simran Roy</c:v>
                </c:pt>
              </c:strCache>
            </c:strRef>
          </c:cat>
          <c:val>
            <c:numRef>
              <c:f>Dashboard!$H$4:$H$8</c:f>
              <c:numCache>
                <c:formatCode>0.00%</c:formatCode>
                <c:ptCount val="5"/>
                <c:pt idx="0">
                  <c:v>0.61199999999999999</c:v>
                </c:pt>
                <c:pt idx="1">
                  <c:v>0.59399999999999997</c:v>
                </c:pt>
                <c:pt idx="2">
                  <c:v>0.59199999999999997</c:v>
                </c:pt>
                <c:pt idx="3">
                  <c:v>0.60199999999999998</c:v>
                </c:pt>
                <c:pt idx="4">
                  <c:v>0.59399999999999997</c:v>
                </c:pt>
              </c:numCache>
            </c:numRef>
          </c:val>
          <c:extLst>
            <c:ext xmlns:c16="http://schemas.microsoft.com/office/drawing/2014/chart" uri="{C3380CC4-5D6E-409C-BE32-E72D297353CC}">
              <c16:uniqueId val="{00000000-43AF-4239-8E46-8F46400E8E9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report 1.xlsm]Dashboard!PivotTable6</c:name>
    <c:fmtId val="0"/>
  </c:pivotSource>
  <c:chart>
    <c:autoTitleDeleted val="1"/>
    <c:pivotFmts>
      <c:pivotFmt>
        <c:idx val="0"/>
        <c:spPr>
          <a:ln w="28575" cap="rnd">
            <a:solidFill>
              <a:schemeClr val="accent1"/>
            </a:solidFill>
            <a:round/>
          </a:ln>
          <a:effectLst/>
        </c:spPr>
        <c:marker>
          <c:symbol val="none"/>
        </c:marker>
        <c:dLbl>
          <c:idx val="0"/>
          <c:spPr>
            <a:solidFill>
              <a:schemeClr val="tx2">
                <a:lumMod val="25000"/>
                <a:lumOff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2">
                  <a:lumMod val="25000"/>
                  <a:lumOff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Deepika Shah</c:v>
                </c:pt>
                <c:pt idx="2">
                  <c:v>Ravi Teja</c:v>
                </c:pt>
                <c:pt idx="3">
                  <c:v>Sanya Verma</c:v>
                </c:pt>
                <c:pt idx="4">
                  <c:v>Yogesh Patil</c:v>
                </c:pt>
              </c:strCache>
            </c:strRef>
          </c:cat>
          <c:val>
            <c:numRef>
              <c:f>Dashboard!$K$4:$K$8</c:f>
              <c:numCache>
                <c:formatCode>0.00%</c:formatCode>
                <c:ptCount val="5"/>
                <c:pt idx="0">
                  <c:v>0.45799999999999996</c:v>
                </c:pt>
                <c:pt idx="1">
                  <c:v>0.45199999999999996</c:v>
                </c:pt>
                <c:pt idx="2">
                  <c:v>0.45199999999999996</c:v>
                </c:pt>
                <c:pt idx="3">
                  <c:v>0.45399999999999996</c:v>
                </c:pt>
                <c:pt idx="4">
                  <c:v>0.45599999999999996</c:v>
                </c:pt>
              </c:numCache>
            </c:numRef>
          </c:val>
          <c:smooth val="0"/>
          <c:extLst>
            <c:ext xmlns:c16="http://schemas.microsoft.com/office/drawing/2014/chart" uri="{C3380CC4-5D6E-409C-BE32-E72D297353CC}">
              <c16:uniqueId val="{00000000-6355-4A76-A453-646F278DA383}"/>
            </c:ext>
          </c:extLst>
        </c:ser>
        <c:dLbls>
          <c:showLegendKey val="0"/>
          <c:showVal val="0"/>
          <c:showCatName val="0"/>
          <c:showSerName val="0"/>
          <c:showPercent val="0"/>
          <c:showBubbleSize val="0"/>
        </c:dLbls>
        <c:smooth val="0"/>
        <c:axId val="1992754655"/>
        <c:axId val="1992758975"/>
      </c:lineChart>
      <c:catAx>
        <c:axId val="199275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92758975"/>
        <c:crosses val="autoZero"/>
        <c:auto val="1"/>
        <c:lblAlgn val="ctr"/>
        <c:lblOffset val="100"/>
        <c:noMultiLvlLbl val="0"/>
      </c:catAx>
      <c:valAx>
        <c:axId val="1992758975"/>
        <c:scaling>
          <c:orientation val="minMax"/>
        </c:scaling>
        <c:delete val="1"/>
        <c:axPos val="l"/>
        <c:numFmt formatCode="0.00%" sourceLinked="1"/>
        <c:majorTickMark val="none"/>
        <c:minorTickMark val="none"/>
        <c:tickLblPos val="nextTo"/>
        <c:crossAx val="1992754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53340</xdr:rowOff>
    </xdr:from>
    <xdr:to>
      <xdr:col>5</xdr:col>
      <xdr:colOff>0</xdr:colOff>
      <xdr:row>19</xdr:row>
      <xdr:rowOff>175260</xdr:rowOff>
    </xdr:to>
    <xdr:graphicFrame macro="">
      <xdr:nvGraphicFramePr>
        <xdr:cNvPr id="2" name="Chart 1">
          <a:extLst>
            <a:ext uri="{FF2B5EF4-FFF2-40B4-BE49-F238E27FC236}">
              <a16:creationId xmlns:a16="http://schemas.microsoft.com/office/drawing/2014/main" id="{61B066BE-9CD1-D024-DE0A-485D8103A4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144780</xdr:colOff>
      <xdr:row>8</xdr:row>
      <xdr:rowOff>60960</xdr:rowOff>
    </xdr:from>
    <xdr:to>
      <xdr:col>8</xdr:col>
      <xdr:colOff>0</xdr:colOff>
      <xdr:row>19</xdr:row>
      <xdr:rowOff>175260</xdr:rowOff>
    </xdr:to>
    <xdr:graphicFrame macro="">
      <xdr:nvGraphicFramePr>
        <xdr:cNvPr id="3" name="Chart 2">
          <a:extLst>
            <a:ext uri="{FF2B5EF4-FFF2-40B4-BE49-F238E27FC236}">
              <a16:creationId xmlns:a16="http://schemas.microsoft.com/office/drawing/2014/main" id="{CD5DB9BF-B617-F4B8-7F1F-D0CEC7016D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129540</xdr:colOff>
      <xdr:row>8</xdr:row>
      <xdr:rowOff>76200</xdr:rowOff>
    </xdr:from>
    <xdr:to>
      <xdr:col>11</xdr:col>
      <xdr:colOff>7620</xdr:colOff>
      <xdr:row>20</xdr:row>
      <xdr:rowOff>7620</xdr:rowOff>
    </xdr:to>
    <xdr:graphicFrame macro="">
      <xdr:nvGraphicFramePr>
        <xdr:cNvPr id="4" name="Chart 3">
          <a:extLst>
            <a:ext uri="{FF2B5EF4-FFF2-40B4-BE49-F238E27FC236}">
              <a16:creationId xmlns:a16="http://schemas.microsoft.com/office/drawing/2014/main" id="{9D3F7F77-7DE9-B62E-9484-8B76485510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1607820</xdr:colOff>
      <xdr:row>1</xdr:row>
      <xdr:rowOff>7620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754ABFF-FE75-5A0B-7026-216C87553B6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357360" cy="457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182880</xdr:colOff>
      <xdr:row>1</xdr:row>
      <xdr:rowOff>38100</xdr:rowOff>
    </xdr:from>
    <xdr:to>
      <xdr:col>1</xdr:col>
      <xdr:colOff>213360</xdr:colOff>
      <xdr:row>1</xdr:row>
      <xdr:rowOff>396240</xdr:rowOff>
    </xdr:to>
    <xdr:sp macro="" textlink="">
      <xdr:nvSpPr>
        <xdr:cNvPr id="6" name="Speech Bubble: Rectangle with Corners Rounded 5">
          <a:extLst>
            <a:ext uri="{FF2B5EF4-FFF2-40B4-BE49-F238E27FC236}">
              <a16:creationId xmlns:a16="http://schemas.microsoft.com/office/drawing/2014/main" id="{3464524D-A1CA-C881-6DAC-268D37529376}"/>
            </a:ext>
          </a:extLst>
        </xdr:cNvPr>
        <xdr:cNvSpPr/>
      </xdr:nvSpPr>
      <xdr:spPr>
        <a:xfrm>
          <a:off x="182880" y="205740"/>
          <a:ext cx="1158240" cy="358140"/>
        </a:xfrm>
        <a:prstGeom prst="wedgeRoundRectCallout">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1</xdr:row>
          <xdr:rowOff>76200</xdr:rowOff>
        </xdr:from>
        <xdr:to>
          <xdr:col>1</xdr:col>
          <xdr:colOff>144780</xdr:colOff>
          <xdr:row>1</xdr:row>
          <xdr:rowOff>365760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167640</xdr:colOff>
      <xdr:row>1</xdr:row>
      <xdr:rowOff>45720</xdr:rowOff>
    </xdr:from>
    <xdr:to>
      <xdr:col>4</xdr:col>
      <xdr:colOff>198120</xdr:colOff>
      <xdr:row>1</xdr:row>
      <xdr:rowOff>403860</xdr:rowOff>
    </xdr:to>
    <xdr:sp macro="" textlink="">
      <xdr:nvSpPr>
        <xdr:cNvPr id="9" name="Speech Bubble: Rectangle with Corners Rounded 8">
          <a:extLst>
            <a:ext uri="{FF2B5EF4-FFF2-40B4-BE49-F238E27FC236}">
              <a16:creationId xmlns:a16="http://schemas.microsoft.com/office/drawing/2014/main" id="{13F13679-327B-480C-BC83-C3653871CEE1}"/>
            </a:ext>
          </a:extLst>
        </xdr:cNvPr>
        <xdr:cNvSpPr/>
      </xdr:nvSpPr>
      <xdr:spPr>
        <a:xfrm>
          <a:off x="2141220" y="213360"/>
          <a:ext cx="1158240" cy="358140"/>
        </a:xfrm>
        <a:prstGeom prst="wedgeRoundRectCallout">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251460</xdr:colOff>
          <xdr:row>1</xdr:row>
          <xdr:rowOff>83820</xdr:rowOff>
        </xdr:from>
        <xdr:to>
          <xdr:col>4</xdr:col>
          <xdr:colOff>129540</xdr:colOff>
          <xdr:row>1</xdr:row>
          <xdr:rowOff>373380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175260</xdr:colOff>
      <xdr:row>1</xdr:row>
      <xdr:rowOff>45720</xdr:rowOff>
    </xdr:from>
    <xdr:to>
      <xdr:col>7</xdr:col>
      <xdr:colOff>251460</xdr:colOff>
      <xdr:row>1</xdr:row>
      <xdr:rowOff>403860</xdr:rowOff>
    </xdr:to>
    <xdr:sp macro="" textlink="">
      <xdr:nvSpPr>
        <xdr:cNvPr id="10" name="Speech Bubble: Rectangle with Corners Rounded 9">
          <a:extLst>
            <a:ext uri="{FF2B5EF4-FFF2-40B4-BE49-F238E27FC236}">
              <a16:creationId xmlns:a16="http://schemas.microsoft.com/office/drawing/2014/main" id="{62FEE8B2-9EBA-4468-9D0F-E77A242ED2AB}"/>
            </a:ext>
          </a:extLst>
        </xdr:cNvPr>
        <xdr:cNvSpPr/>
      </xdr:nvSpPr>
      <xdr:spPr>
        <a:xfrm>
          <a:off x="4290060" y="213360"/>
          <a:ext cx="1158240" cy="358140"/>
        </a:xfrm>
        <a:prstGeom prst="wedgeRoundRectCallout">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259080</xdr:colOff>
          <xdr:row>1</xdr:row>
          <xdr:rowOff>83820</xdr:rowOff>
        </xdr:from>
        <xdr:to>
          <xdr:col>7</xdr:col>
          <xdr:colOff>182880</xdr:colOff>
          <xdr:row>1</xdr:row>
          <xdr:rowOff>373380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167640</xdr:colOff>
      <xdr:row>1</xdr:row>
      <xdr:rowOff>45720</xdr:rowOff>
    </xdr:from>
    <xdr:to>
      <xdr:col>9</xdr:col>
      <xdr:colOff>1325880</xdr:colOff>
      <xdr:row>1</xdr:row>
      <xdr:rowOff>403860</xdr:rowOff>
    </xdr:to>
    <xdr:sp macro="" textlink="">
      <xdr:nvSpPr>
        <xdr:cNvPr id="11" name="Speech Bubble: Rectangle with Corners Rounded 10">
          <a:extLst>
            <a:ext uri="{FF2B5EF4-FFF2-40B4-BE49-F238E27FC236}">
              <a16:creationId xmlns:a16="http://schemas.microsoft.com/office/drawing/2014/main" id="{4E672F34-68F4-4911-804D-565517C2DB48}"/>
            </a:ext>
          </a:extLst>
        </xdr:cNvPr>
        <xdr:cNvSpPr/>
      </xdr:nvSpPr>
      <xdr:spPr>
        <a:xfrm>
          <a:off x="6545580" y="213360"/>
          <a:ext cx="1158240" cy="358140"/>
        </a:xfrm>
        <a:prstGeom prst="wedgeRoundRectCallout">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251460</xdr:colOff>
          <xdr:row>1</xdr:row>
          <xdr:rowOff>83820</xdr:rowOff>
        </xdr:from>
        <xdr:to>
          <xdr:col>9</xdr:col>
          <xdr:colOff>1257300</xdr:colOff>
          <xdr:row>1</xdr:row>
          <xdr:rowOff>373380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Boruah" refreshedDate="46067.564922800928" backgroundQuery="1" createdVersion="8" refreshedVersion="8" minRefreshableVersion="3" recordCount="0" supportSubquery="1" supportAdvancedDrill="1" xr:uid="{B4F56074-B438-47FE-B2B3-2220CED7E08D}">
  <cacheSource type="external" connectionId="1"/>
  <cacheFields count="3">
    <cacheField name="[Range].[Sales Executive].[Sales Executive]" caption="Sales Executive" numFmtId="0" hierarchy="1" level="1">
      <sharedItems count="5">
        <s v="Adarsh Nair"/>
        <s v="Rituraj Das"/>
        <s v="Sneh Khan"/>
        <s v="Syed Saqib"/>
        <s v="Tanvi Kale"/>
      </sharedItems>
    </cacheField>
    <cacheField name="[Measures].[Sum of Total Sales]" caption="Sum of Total Sales" numFmtId="0" hierarchy="14"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Boruah" refreshedDate="46067.565734027776" backgroundQuery="1" createdVersion="8" refreshedVersion="8" minRefreshableVersion="3" recordCount="0" supportSubquery="1" supportAdvancedDrill="1" xr:uid="{08C8AFF4-B268-46F9-B1A7-508FEDA7C238}">
  <cacheSource type="external" connectionId="1"/>
  <cacheFields count="3">
    <cacheField name="[Range].[Sales Executive].[Sales Executive]" caption="Sales Executive" numFmtId="0" hierarchy="1" level="1">
      <sharedItems count="10">
        <s v="Aarti Singh"/>
        <s v="Charu Jain"/>
        <s v="Divya Nair"/>
        <s v="Preeti Kapoor"/>
        <s v="Simran Roy"/>
        <s v="Manoj Tiwari" u="1"/>
        <s v="Mitali Sen" u="1"/>
        <s v="Neeraj Singh" u="1"/>
        <s v="Rakesh Yadav" u="1"/>
        <s v="Vinay Sharma" u="1"/>
      </sharedItems>
    </cacheField>
    <cacheField name="[Measures].[Sum of Target Hit %]" caption="Sum of Target Hit %" numFmtId="0" hierarchy="15"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Boruah" refreshedDate="46067.565741666665" backgroundQuery="1" createdVersion="8" refreshedVersion="8" minRefreshableVersion="3" recordCount="0" supportSubquery="1" supportAdvancedDrill="1" xr:uid="{77322D02-03ED-4D1C-907D-2FBBFB690C57}">
  <cacheSource type="external" connectionId="1"/>
  <cacheFields count="3">
    <cacheField name="[Range].[Sales Executive].[Sales Executive]" caption="Sales Executive" numFmtId="0" hierarchy="1" level="1">
      <sharedItems count="5">
        <s v="Divya Nair"/>
        <s v="Prakash Jha"/>
        <s v="Shubhanjali Joshi"/>
        <s v="Sunita Madnani"/>
        <s v="Tarini Iyer"/>
      </sharedItems>
    </cacheField>
    <cacheField name="[Measures].[Sum of Total Sales]" caption="Sum of Total Sales" numFmtId="0" hierarchy="14"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2"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2" memberValueDatatype="20" unbalanced="0"/>
    <cacheHierarchy uniqueName="[Range].[Day2]" caption="Day2" attribute="1" defaultMemberUniqueName="[Range].[Day2].[All]" allUniqueName="[Range].[Day2].[All]" dimensionUniqueName="[Range]" displayFolder="" count="2" memberValueDatatype="20" unbalanced="0"/>
    <cacheHierarchy uniqueName="[Range].[Day3]" caption="Day3" attribute="1" defaultMemberUniqueName="[Range].[Day3].[All]" allUniqueName="[Range].[Day3].[All]" dimensionUniqueName="[Range]" displayFolder="" count="2" memberValueDatatype="20" unbalanced="0"/>
    <cacheHierarchy uniqueName="[Range].[Day4]" caption="Day4" attribute="1" defaultMemberUniqueName="[Range].[Day4].[All]" allUniqueName="[Range].[Day4].[All]" dimensionUniqueName="[Range]" displayFolder="" count="2" memberValueDatatype="20" unbalanced="0"/>
    <cacheHierarchy uniqueName="[Range].[Day5]" caption="Day5" attribute="1" defaultMemberUniqueName="[Range].[Day5].[All]" allUniqueName="[Range].[Day5].[All]" dimensionUniqueName="[Range]" displayFolder="" count="2" memberValueDatatype="20" unbalanced="0"/>
    <cacheHierarchy uniqueName="[Range].[Total Sales]" caption="Total Sales" attribute="1" defaultMemberUniqueName="[Range].[Total Sales].[All]" allUniqueName="[Range].[Total Sales].[All]" dimensionUniqueName="[Range]" displayFolder="" count="2" memberValueDatatype="20" unbalanced="0"/>
    <cacheHierarchy uniqueName="[Range].[Target]" caption="Target" attribute="1" defaultMemberUniqueName="[Range].[Target].[All]" allUniqueName="[Range].[Target].[All]" dimensionUniqueName="[Range]" displayFolder="" count="2" memberValueDatatype="20" unbalanced="0"/>
    <cacheHierarchy uniqueName="[Range].[Target Hit %]" caption="Target Hit %" attribute="1" defaultMemberUniqueName="[Range].[Target Hit %].[All]" allUniqueName="[Range].[Target Hit %].[All]" dimensionUniqueName="[Range]" displayFolder="" count="2" memberValueDatatype="5" unbalanced="0"/>
    <cacheHierarchy uniqueName="[Range].[Away from Target %]" caption="Away from Target %" attribute="1" defaultMemberUniqueName="[Range].[Away from Target %].[All]" allUniqueName="[Range].[Away from Target %].[All]" dimensionUniqueName="[Range]" displayFolder="" count="2"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Boruah" refreshedDate="46067.565742245373" backgroundQuery="1" createdVersion="8" refreshedVersion="8" minRefreshableVersion="3" recordCount="0" supportSubquery="1" supportAdvancedDrill="1" xr:uid="{463DBBA8-57BE-4111-A6CA-808A3F2EDDDC}">
  <cacheSource type="external" connectionId="1"/>
  <cacheFields count="3">
    <cacheField name="[Range].[Sales Executive].[Sales Executive]" caption="Sales Executive" numFmtId="0" hierarchy="1" level="1">
      <sharedItems count="5">
        <s v="Anuj Sharma"/>
        <s v="Deepika Shah"/>
        <s v="Ravi Teja"/>
        <s v="Sanya Verma"/>
        <s v="Yogesh Patil"/>
      </sharedItems>
    </cacheField>
    <cacheField name="[Measures].[Sum of Away from Target %]" caption="Sum of Away from Target %" numFmtId="0" hierarchy="16"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Boruah" refreshedDate="46067.530988194441" backgroundQuery="1" createdVersion="3" refreshedVersion="8" minRefreshableVersion="3" recordCount="0" supportSubquery="1" supportAdvancedDrill="1" xr:uid="{97AFDAC5-8A90-4842-A11D-993A746EA753}">
  <cacheSource type="external" connectionId="1">
    <extLst>
      <ext xmlns:x14="http://schemas.microsoft.com/office/spreadsheetml/2009/9/main" uri="{F057638F-6D5F-4e77-A914-E7F072B9BCA8}">
        <x14:sourceConnection name="ThisWorkbookDataModel"/>
      </ext>
    </extLst>
  </cacheSource>
  <cacheFields count="0"/>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46930497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814FAA-0283-4643-8F50-FA25AE3A94EB}" name="PivotTable5" cacheId="12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3">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Target Hit % wise" fld="1"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5"/>
          </reference>
        </references>
      </pivotArea>
    </chartFormat>
    <chartFormat chart="0" format="2">
      <pivotArea type="data" outline="0" fieldPosition="0">
        <references count="2">
          <reference field="4294967294" count="1" selected="0">
            <x v="0"/>
          </reference>
          <reference field="0" count="1" selected="0">
            <x v="6"/>
          </reference>
        </references>
      </pivotArea>
    </chartFormat>
    <chartFormat chart="0" format="3">
      <pivotArea type="data" outline="0" fieldPosition="0">
        <references count="2">
          <reference field="4294967294" count="1" selected="0">
            <x v="0"/>
          </reference>
          <reference field="0" count="1" selected="0">
            <x v="7"/>
          </reference>
        </references>
      </pivotArea>
    </chartFormat>
    <chartFormat chart="0" format="4">
      <pivotArea type="data" outline="0" fieldPosition="0">
        <references count="2">
          <reference field="4294967294" count="1" selected="0">
            <x v="0"/>
          </reference>
          <reference field="0" count="1" selected="0">
            <x v="8"/>
          </reference>
        </references>
      </pivotArea>
    </chartFormat>
    <chartFormat chart="0" format="5">
      <pivotArea type="data" outline="0" fieldPosition="0">
        <references count="2">
          <reference field="4294967294" count="1" selected="0">
            <x v="0"/>
          </reference>
          <reference field="0" count="1" selected="0">
            <x v="9"/>
          </reference>
        </references>
      </pivotArea>
    </chartFormat>
  </chartFormats>
  <pivotHierarchies count="17">
    <pivotHierarchy dragToData="1"/>
    <pivotHierarchy dragToData="1"/>
    <pivotHierarchy multipleItemSelectionAllowed="1" dragToData="1">
      <members count="1" level="1">
        <member name="[Range].[Region].&amp;[Sura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Medium16" showRowHeaders="1" showColHeaders="1" showRowStripes="0" showColStripes="0" showLastColumn="1"/>
  <filters count="1">
    <filter fld="0" type="count" id="1" iMeasureHier="15">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 (2)!$A$1:$L$14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7FF493-7DEB-41A3-BCDD-E192C927B701}" name="PivotTable3"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Total Sales " fld="1" baseField="0" baseItem="0"/>
  </dataFields>
  <pivotHierarchies count="17">
    <pivotHierarchy dragToData="1"/>
    <pivotHierarchy dragToData="1"/>
    <pivotHierarchy multipleItemSelectionAllowed="1" dragToData="1">
      <members count="1" level="1">
        <member name="[Range].[Region].&amp;[Delhi]"/>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Medium15" showRowHeaders="1" showColHeaders="1" showRowStripes="0" showColStripes="0" showLastColumn="1"/>
  <filters count="1">
    <filter fld="0" type="count" id="3" iMeasureHier="14">
      <autoFilter ref="A1">
        <filterColumn colId="0">
          <top10 top="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 (2)!$A$1:$L$14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170068-C2D1-46D0-9DD6-0CEDD7FBEE6E}" name="PivotTable1" cacheId="13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Total Sales "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17">
    <pivotHierarchy dragToData="1"/>
    <pivotHierarchy dragToData="1"/>
    <pivotHierarchy multipleItemSelectionAllowed="1" dragToData="1">
      <members count="1" level="1">
        <member name="[Range].[Region].&amp;[Pun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Medium15" showRowHeaders="1" showColHeaders="1" showRowStripes="0" showColStripes="0" showLastColumn="1"/>
  <filters count="1">
    <filter fld="0" type="count" id="2" iMeasureHier="14">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 (2)!$A$1:$L$14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FCC957-EE3B-4336-89F5-A2763D8E4A3D}" name="PivotTable6" cacheId="13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Away from Target % wise" fld="1" baseField="0" baseItem="0" numFmtId="10"/>
  </dataFields>
  <chartFormats count="1">
    <chartFormat chart="0" format="0" series="1">
      <pivotArea type="data" outline="0" fieldPosition="0">
        <references count="1">
          <reference field="4294967294" count="1" selected="0">
            <x v="0"/>
          </reference>
        </references>
      </pivotArea>
    </chartFormat>
  </chartFormats>
  <pivotHierarchies count="17">
    <pivotHierarchy dragToData="1"/>
    <pivotHierarchy dragToData="1"/>
    <pivotHierarchy multipleItemSelectionAllowed="1" dragToData="1">
      <members count="1" level="1">
        <member name="[Range].[Region].&amp;[Pun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Medium16" showRowHeaders="1" showColHeaders="1" showRowStripes="0" showColStripes="0" showLastColumn="1"/>
  <filters count="1">
    <filter fld="0" type="count" id="3" iMeasureHier="16">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 (2)!$A$1:$L$14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4B4755E-71A2-411C-88AF-14A670FF2AE3}" sourceName="[Range].[Region]">
  <pivotTables>
    <pivotTable tabId="3" name="PivotTable1"/>
    <pivotTable tabId="3" name="PivotTable6"/>
  </pivotTables>
  <data>
    <olap pivotCacheId="469304978">
      <levels count="2">
        <level uniqueName="[Range].[Region].[(All)]" sourceCaption="(All)" count="0"/>
        <level uniqueName="[Range].[Region].[Region]" sourceCaption="Region" count="8">
          <ranges>
            <range startItem="0">
              <i n="[Range].[Region].&amp;[Chennai]" c="Chennai"/>
              <i n="[Range].[Region].&amp;[Delhi]" c="Delhi"/>
              <i n="[Range].[Region].&amp;[Mumbai]" c="Mumbai"/>
              <i n="[Range].[Region].&amp;[Nagpur]" c="Nagpur"/>
              <i n="[Range].[Region].&amp;[Patna]" c="Patna"/>
              <i n="[Range].[Region].&amp;[Pune]" c="Pune"/>
              <i n="[Range].[Region].&amp;[Ranchi]" c="Ranchi"/>
              <i n="[Range].[Region].&amp;[Surat]" c="Surat"/>
            </range>
          </ranges>
        </level>
      </levels>
      <selections count="1">
        <selection n="[Range].[Region].&amp;[Pun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C8ED8E2-9DB1-4200-A2F2-2F3EF431B788}" cache="Slicer_Region" caption="Region" columnCount="8" showCaption="0" level="1"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44D40-E9EA-43A9-AB74-95D05270AA3C}">
  <sheetPr codeName="Sheet1">
    <tabColor theme="2" tint="-9.9978637043366805E-2"/>
  </sheetPr>
  <dimension ref="A1:A143"/>
  <sheetViews>
    <sheetView workbookViewId="0">
      <selection sqref="A1:A1048576"/>
    </sheetView>
  </sheetViews>
  <sheetFormatPr defaultRowHeight="14.4" x14ac:dyDescent="0.3"/>
  <sheetData>
    <row r="1" spans="1:1" x14ac:dyDescent="0.3">
      <c r="A1" t="s">
        <v>0</v>
      </c>
    </row>
    <row r="2" spans="1:1" x14ac:dyDescent="0.3">
      <c r="A2" t="s">
        <v>1</v>
      </c>
    </row>
    <row r="3" spans="1:1" x14ac:dyDescent="0.3">
      <c r="A3" t="s">
        <v>2</v>
      </c>
    </row>
    <row r="4" spans="1:1" x14ac:dyDescent="0.3">
      <c r="A4" t="s">
        <v>3</v>
      </c>
    </row>
    <row r="5" spans="1:1" x14ac:dyDescent="0.3">
      <c r="A5" t="s">
        <v>4</v>
      </c>
    </row>
    <row r="6" spans="1:1" x14ac:dyDescent="0.3">
      <c r="A6" t="s">
        <v>5</v>
      </c>
    </row>
    <row r="7" spans="1:1" x14ac:dyDescent="0.3">
      <c r="A7" t="s">
        <v>6</v>
      </c>
    </row>
    <row r="8" spans="1:1" x14ac:dyDescent="0.3">
      <c r="A8" t="s">
        <v>7</v>
      </c>
    </row>
    <row r="9" spans="1:1" x14ac:dyDescent="0.3">
      <c r="A9" t="s">
        <v>8</v>
      </c>
    </row>
    <row r="10" spans="1:1" x14ac:dyDescent="0.3">
      <c r="A10" t="s">
        <v>9</v>
      </c>
    </row>
    <row r="11" spans="1:1" x14ac:dyDescent="0.3">
      <c r="A11" t="s">
        <v>10</v>
      </c>
    </row>
    <row r="12" spans="1:1" x14ac:dyDescent="0.3">
      <c r="A12" t="s">
        <v>11</v>
      </c>
    </row>
    <row r="13" spans="1:1" x14ac:dyDescent="0.3">
      <c r="A13" t="s">
        <v>12</v>
      </c>
    </row>
    <row r="14" spans="1:1" x14ac:dyDescent="0.3">
      <c r="A14" t="s">
        <v>13</v>
      </c>
    </row>
    <row r="15" spans="1:1" x14ac:dyDescent="0.3">
      <c r="A15" t="s">
        <v>14</v>
      </c>
    </row>
    <row r="16" spans="1:1" x14ac:dyDescent="0.3">
      <c r="A16" t="s">
        <v>15</v>
      </c>
    </row>
    <row r="17" spans="1:1" x14ac:dyDescent="0.3">
      <c r="A17" t="s">
        <v>16</v>
      </c>
    </row>
    <row r="18" spans="1:1" x14ac:dyDescent="0.3">
      <c r="A18" t="s">
        <v>17</v>
      </c>
    </row>
    <row r="19" spans="1:1" x14ac:dyDescent="0.3">
      <c r="A19" t="s">
        <v>18</v>
      </c>
    </row>
    <row r="20" spans="1:1" x14ac:dyDescent="0.3">
      <c r="A20" t="s">
        <v>19</v>
      </c>
    </row>
    <row r="21" spans="1:1" x14ac:dyDescent="0.3">
      <c r="A21" t="s">
        <v>20</v>
      </c>
    </row>
    <row r="22" spans="1:1" x14ac:dyDescent="0.3">
      <c r="A22" t="s">
        <v>21</v>
      </c>
    </row>
    <row r="23" spans="1:1" x14ac:dyDescent="0.3">
      <c r="A23" t="s">
        <v>22</v>
      </c>
    </row>
    <row r="24" spans="1:1" x14ac:dyDescent="0.3">
      <c r="A24" t="s">
        <v>23</v>
      </c>
    </row>
    <row r="25" spans="1:1" x14ac:dyDescent="0.3">
      <c r="A25" t="s">
        <v>24</v>
      </c>
    </row>
    <row r="26" spans="1:1" x14ac:dyDescent="0.3">
      <c r="A26" t="s">
        <v>25</v>
      </c>
    </row>
    <row r="27" spans="1:1" x14ac:dyDescent="0.3">
      <c r="A27" t="s">
        <v>26</v>
      </c>
    </row>
    <row r="28" spans="1:1" x14ac:dyDescent="0.3">
      <c r="A28" t="s">
        <v>27</v>
      </c>
    </row>
    <row r="29" spans="1:1" x14ac:dyDescent="0.3">
      <c r="A29" t="s">
        <v>28</v>
      </c>
    </row>
    <row r="30" spans="1:1" x14ac:dyDescent="0.3">
      <c r="A30" t="s">
        <v>29</v>
      </c>
    </row>
    <row r="31" spans="1:1" x14ac:dyDescent="0.3">
      <c r="A31" t="s">
        <v>30</v>
      </c>
    </row>
    <row r="32" spans="1:1" x14ac:dyDescent="0.3">
      <c r="A32" t="s">
        <v>31</v>
      </c>
    </row>
    <row r="33" spans="1:1" x14ac:dyDescent="0.3">
      <c r="A33" t="s">
        <v>32</v>
      </c>
    </row>
    <row r="34" spans="1:1" x14ac:dyDescent="0.3">
      <c r="A34" t="s">
        <v>33</v>
      </c>
    </row>
    <row r="35" spans="1:1" x14ac:dyDescent="0.3">
      <c r="A35" t="s">
        <v>34</v>
      </c>
    </row>
    <row r="36" spans="1:1" x14ac:dyDescent="0.3">
      <c r="A36" t="s">
        <v>35</v>
      </c>
    </row>
    <row r="37" spans="1:1" x14ac:dyDescent="0.3">
      <c r="A37" t="s">
        <v>36</v>
      </c>
    </row>
    <row r="38" spans="1:1" x14ac:dyDescent="0.3">
      <c r="A38" t="s">
        <v>37</v>
      </c>
    </row>
    <row r="39" spans="1:1" x14ac:dyDescent="0.3">
      <c r="A39" t="s">
        <v>38</v>
      </c>
    </row>
    <row r="40" spans="1:1" x14ac:dyDescent="0.3">
      <c r="A40" t="s">
        <v>39</v>
      </c>
    </row>
    <row r="41" spans="1:1" x14ac:dyDescent="0.3">
      <c r="A41" t="s">
        <v>40</v>
      </c>
    </row>
    <row r="42" spans="1:1" x14ac:dyDescent="0.3">
      <c r="A42" t="s">
        <v>41</v>
      </c>
    </row>
    <row r="43" spans="1:1" x14ac:dyDescent="0.3">
      <c r="A43" t="s">
        <v>42</v>
      </c>
    </row>
    <row r="44" spans="1:1" x14ac:dyDescent="0.3">
      <c r="A44" t="s">
        <v>43</v>
      </c>
    </row>
    <row r="45" spans="1:1" x14ac:dyDescent="0.3">
      <c r="A45" t="s">
        <v>44</v>
      </c>
    </row>
    <row r="46" spans="1:1" x14ac:dyDescent="0.3">
      <c r="A46" t="s">
        <v>45</v>
      </c>
    </row>
    <row r="47" spans="1:1" x14ac:dyDescent="0.3">
      <c r="A47" t="s">
        <v>46</v>
      </c>
    </row>
    <row r="48" spans="1:1" x14ac:dyDescent="0.3">
      <c r="A48" t="s">
        <v>47</v>
      </c>
    </row>
    <row r="49" spans="1:1" x14ac:dyDescent="0.3">
      <c r="A49" t="s">
        <v>48</v>
      </c>
    </row>
    <row r="50" spans="1:1" x14ac:dyDescent="0.3">
      <c r="A50" t="s">
        <v>49</v>
      </c>
    </row>
    <row r="51" spans="1:1" x14ac:dyDescent="0.3">
      <c r="A51" t="s">
        <v>50</v>
      </c>
    </row>
    <row r="52" spans="1:1" x14ac:dyDescent="0.3">
      <c r="A52" t="s">
        <v>51</v>
      </c>
    </row>
    <row r="53" spans="1:1" x14ac:dyDescent="0.3">
      <c r="A53" t="s">
        <v>52</v>
      </c>
    </row>
    <row r="54" spans="1:1" x14ac:dyDescent="0.3">
      <c r="A54" t="s">
        <v>53</v>
      </c>
    </row>
    <row r="55" spans="1:1" x14ac:dyDescent="0.3">
      <c r="A55" t="s">
        <v>54</v>
      </c>
    </row>
    <row r="56" spans="1:1" x14ac:dyDescent="0.3">
      <c r="A56" t="s">
        <v>55</v>
      </c>
    </row>
    <row r="57" spans="1:1" x14ac:dyDescent="0.3">
      <c r="A57" t="s">
        <v>56</v>
      </c>
    </row>
    <row r="58" spans="1:1" x14ac:dyDescent="0.3">
      <c r="A58" t="s">
        <v>57</v>
      </c>
    </row>
    <row r="59" spans="1:1" x14ac:dyDescent="0.3">
      <c r="A59" t="s">
        <v>58</v>
      </c>
    </row>
    <row r="60" spans="1:1" x14ac:dyDescent="0.3">
      <c r="A60" t="s">
        <v>59</v>
      </c>
    </row>
    <row r="61" spans="1:1" x14ac:dyDescent="0.3">
      <c r="A61" t="s">
        <v>60</v>
      </c>
    </row>
    <row r="62" spans="1:1" x14ac:dyDescent="0.3">
      <c r="A62" t="s">
        <v>61</v>
      </c>
    </row>
    <row r="63" spans="1:1" x14ac:dyDescent="0.3">
      <c r="A63" t="s">
        <v>62</v>
      </c>
    </row>
    <row r="64" spans="1:1" x14ac:dyDescent="0.3">
      <c r="A64" t="s">
        <v>63</v>
      </c>
    </row>
    <row r="65" spans="1:1" x14ac:dyDescent="0.3">
      <c r="A65" t="s">
        <v>64</v>
      </c>
    </row>
    <row r="66" spans="1:1" x14ac:dyDescent="0.3">
      <c r="A66" t="s">
        <v>65</v>
      </c>
    </row>
    <row r="67" spans="1:1" x14ac:dyDescent="0.3">
      <c r="A67" t="s">
        <v>66</v>
      </c>
    </row>
    <row r="68" spans="1:1" x14ac:dyDescent="0.3">
      <c r="A68" t="s">
        <v>67</v>
      </c>
    </row>
    <row r="69" spans="1:1" x14ac:dyDescent="0.3">
      <c r="A69" t="s">
        <v>68</v>
      </c>
    </row>
    <row r="70" spans="1:1" x14ac:dyDescent="0.3">
      <c r="A70" t="s">
        <v>69</v>
      </c>
    </row>
    <row r="71" spans="1:1" x14ac:dyDescent="0.3">
      <c r="A71" t="s">
        <v>70</v>
      </c>
    </row>
    <row r="72" spans="1:1" x14ac:dyDescent="0.3">
      <c r="A72" t="s">
        <v>71</v>
      </c>
    </row>
    <row r="73" spans="1:1" x14ac:dyDescent="0.3">
      <c r="A73" t="s">
        <v>72</v>
      </c>
    </row>
    <row r="74" spans="1:1" x14ac:dyDescent="0.3">
      <c r="A74" t="s">
        <v>73</v>
      </c>
    </row>
    <row r="75" spans="1:1" x14ac:dyDescent="0.3">
      <c r="A75" t="s">
        <v>74</v>
      </c>
    </row>
    <row r="76" spans="1:1" x14ac:dyDescent="0.3">
      <c r="A76" t="s">
        <v>75</v>
      </c>
    </row>
    <row r="77" spans="1:1" x14ac:dyDescent="0.3">
      <c r="A77" t="s">
        <v>76</v>
      </c>
    </row>
    <row r="78" spans="1:1" x14ac:dyDescent="0.3">
      <c r="A78" t="s">
        <v>77</v>
      </c>
    </row>
    <row r="79" spans="1:1" x14ac:dyDescent="0.3">
      <c r="A79" t="s">
        <v>78</v>
      </c>
    </row>
    <row r="80" spans="1:1" x14ac:dyDescent="0.3">
      <c r="A80" t="s">
        <v>79</v>
      </c>
    </row>
    <row r="81" spans="1:1" x14ac:dyDescent="0.3">
      <c r="A81" t="s">
        <v>80</v>
      </c>
    </row>
    <row r="82" spans="1:1" x14ac:dyDescent="0.3">
      <c r="A82" t="s">
        <v>81</v>
      </c>
    </row>
    <row r="83" spans="1:1" x14ac:dyDescent="0.3">
      <c r="A83" t="s">
        <v>82</v>
      </c>
    </row>
    <row r="84" spans="1:1" x14ac:dyDescent="0.3">
      <c r="A84" t="s">
        <v>83</v>
      </c>
    </row>
    <row r="85" spans="1:1" x14ac:dyDescent="0.3">
      <c r="A85" t="s">
        <v>84</v>
      </c>
    </row>
    <row r="86" spans="1:1" x14ac:dyDescent="0.3">
      <c r="A86" t="s">
        <v>85</v>
      </c>
    </row>
    <row r="87" spans="1:1" x14ac:dyDescent="0.3">
      <c r="A87" t="s">
        <v>86</v>
      </c>
    </row>
    <row r="88" spans="1:1" x14ac:dyDescent="0.3">
      <c r="A88" t="s">
        <v>87</v>
      </c>
    </row>
    <row r="89" spans="1:1" x14ac:dyDescent="0.3">
      <c r="A89" t="s">
        <v>88</v>
      </c>
    </row>
    <row r="90" spans="1:1" x14ac:dyDescent="0.3">
      <c r="A90" t="s">
        <v>89</v>
      </c>
    </row>
    <row r="91" spans="1:1" x14ac:dyDescent="0.3">
      <c r="A91" t="s">
        <v>90</v>
      </c>
    </row>
    <row r="92" spans="1:1" x14ac:dyDescent="0.3">
      <c r="A92" t="s">
        <v>91</v>
      </c>
    </row>
    <row r="93" spans="1:1" x14ac:dyDescent="0.3">
      <c r="A93" t="s">
        <v>92</v>
      </c>
    </row>
    <row r="94" spans="1:1" x14ac:dyDescent="0.3">
      <c r="A94" t="s">
        <v>93</v>
      </c>
    </row>
    <row r="95" spans="1:1" x14ac:dyDescent="0.3">
      <c r="A95" t="s">
        <v>94</v>
      </c>
    </row>
    <row r="96" spans="1:1" x14ac:dyDescent="0.3">
      <c r="A96" t="s">
        <v>95</v>
      </c>
    </row>
    <row r="97" spans="1:1" x14ac:dyDescent="0.3">
      <c r="A97" t="s">
        <v>96</v>
      </c>
    </row>
    <row r="98" spans="1:1" x14ac:dyDescent="0.3">
      <c r="A98" t="s">
        <v>97</v>
      </c>
    </row>
    <row r="99" spans="1:1" x14ac:dyDescent="0.3">
      <c r="A99" t="s">
        <v>98</v>
      </c>
    </row>
    <row r="100" spans="1:1" x14ac:dyDescent="0.3">
      <c r="A100" t="s">
        <v>99</v>
      </c>
    </row>
    <row r="101" spans="1:1" x14ac:dyDescent="0.3">
      <c r="A101" t="s">
        <v>100</v>
      </c>
    </row>
    <row r="102" spans="1:1" x14ac:dyDescent="0.3">
      <c r="A102" t="s">
        <v>101</v>
      </c>
    </row>
    <row r="103" spans="1:1" x14ac:dyDescent="0.3">
      <c r="A103" t="s">
        <v>102</v>
      </c>
    </row>
    <row r="104" spans="1:1" x14ac:dyDescent="0.3">
      <c r="A104" t="s">
        <v>103</v>
      </c>
    </row>
    <row r="105" spans="1:1" x14ac:dyDescent="0.3">
      <c r="A105" t="s">
        <v>104</v>
      </c>
    </row>
    <row r="106" spans="1:1" x14ac:dyDescent="0.3">
      <c r="A106" t="s">
        <v>105</v>
      </c>
    </row>
    <row r="107" spans="1:1" x14ac:dyDescent="0.3">
      <c r="A107" t="s">
        <v>106</v>
      </c>
    </row>
    <row r="108" spans="1:1" x14ac:dyDescent="0.3">
      <c r="A108" t="s">
        <v>107</v>
      </c>
    </row>
    <row r="109" spans="1:1" x14ac:dyDescent="0.3">
      <c r="A109" t="s">
        <v>108</v>
      </c>
    </row>
    <row r="110" spans="1:1" x14ac:dyDescent="0.3">
      <c r="A110" t="s">
        <v>109</v>
      </c>
    </row>
    <row r="111" spans="1:1" x14ac:dyDescent="0.3">
      <c r="A111" t="s">
        <v>110</v>
      </c>
    </row>
    <row r="112" spans="1:1" x14ac:dyDescent="0.3">
      <c r="A112" t="s">
        <v>111</v>
      </c>
    </row>
    <row r="113" spans="1:1" x14ac:dyDescent="0.3">
      <c r="A113" t="s">
        <v>112</v>
      </c>
    </row>
    <row r="114" spans="1:1" x14ac:dyDescent="0.3">
      <c r="A114" t="s">
        <v>113</v>
      </c>
    </row>
    <row r="115" spans="1:1" x14ac:dyDescent="0.3">
      <c r="A115" t="s">
        <v>114</v>
      </c>
    </row>
    <row r="116" spans="1:1" x14ac:dyDescent="0.3">
      <c r="A116" t="s">
        <v>115</v>
      </c>
    </row>
    <row r="117" spans="1:1" x14ac:dyDescent="0.3">
      <c r="A117" t="s">
        <v>116</v>
      </c>
    </row>
    <row r="118" spans="1:1" x14ac:dyDescent="0.3">
      <c r="A118" t="s">
        <v>117</v>
      </c>
    </row>
    <row r="119" spans="1:1" x14ac:dyDescent="0.3">
      <c r="A119" t="s">
        <v>118</v>
      </c>
    </row>
    <row r="120" spans="1:1" x14ac:dyDescent="0.3">
      <c r="A120" t="s">
        <v>119</v>
      </c>
    </row>
    <row r="121" spans="1:1" x14ac:dyDescent="0.3">
      <c r="A121" t="s">
        <v>120</v>
      </c>
    </row>
    <row r="122" spans="1:1" x14ac:dyDescent="0.3">
      <c r="A122" t="s">
        <v>121</v>
      </c>
    </row>
    <row r="123" spans="1:1" x14ac:dyDescent="0.3">
      <c r="A123" t="s">
        <v>122</v>
      </c>
    </row>
    <row r="124" spans="1:1" x14ac:dyDescent="0.3">
      <c r="A124" t="s">
        <v>123</v>
      </c>
    </row>
    <row r="125" spans="1:1" x14ac:dyDescent="0.3">
      <c r="A125" t="s">
        <v>124</v>
      </c>
    </row>
    <row r="126" spans="1:1" x14ac:dyDescent="0.3">
      <c r="A126" t="s">
        <v>125</v>
      </c>
    </row>
    <row r="127" spans="1:1" x14ac:dyDescent="0.3">
      <c r="A127" t="s">
        <v>126</v>
      </c>
    </row>
    <row r="128" spans="1:1" x14ac:dyDescent="0.3">
      <c r="A128" t="s">
        <v>127</v>
      </c>
    </row>
    <row r="129" spans="1:1" x14ac:dyDescent="0.3">
      <c r="A129" t="s">
        <v>128</v>
      </c>
    </row>
    <row r="130" spans="1:1" x14ac:dyDescent="0.3">
      <c r="A130" t="s">
        <v>129</v>
      </c>
    </row>
    <row r="131" spans="1:1" x14ac:dyDescent="0.3">
      <c r="A131" t="s">
        <v>130</v>
      </c>
    </row>
    <row r="132" spans="1:1" x14ac:dyDescent="0.3">
      <c r="A132" t="s">
        <v>131</v>
      </c>
    </row>
    <row r="133" spans="1:1" x14ac:dyDescent="0.3">
      <c r="A133" t="s">
        <v>132</v>
      </c>
    </row>
    <row r="134" spans="1:1" x14ac:dyDescent="0.3">
      <c r="A134" t="s">
        <v>133</v>
      </c>
    </row>
    <row r="135" spans="1:1" x14ac:dyDescent="0.3">
      <c r="A135" t="s">
        <v>134</v>
      </c>
    </row>
    <row r="136" spans="1:1" x14ac:dyDescent="0.3">
      <c r="A136" t="s">
        <v>135</v>
      </c>
    </row>
    <row r="137" spans="1:1" x14ac:dyDescent="0.3">
      <c r="A137" t="s">
        <v>136</v>
      </c>
    </row>
    <row r="138" spans="1:1" x14ac:dyDescent="0.3">
      <c r="A138" t="s">
        <v>137</v>
      </c>
    </row>
    <row r="139" spans="1:1" x14ac:dyDescent="0.3">
      <c r="A139" t="s">
        <v>138</v>
      </c>
    </row>
    <row r="140" spans="1:1" x14ac:dyDescent="0.3">
      <c r="A140" t="s">
        <v>139</v>
      </c>
    </row>
    <row r="141" spans="1:1" x14ac:dyDescent="0.3">
      <c r="A141" t="s">
        <v>140</v>
      </c>
    </row>
    <row r="142" spans="1:1" x14ac:dyDescent="0.3">
      <c r="A142" t="s">
        <v>141</v>
      </c>
    </row>
    <row r="143" spans="1:1" x14ac:dyDescent="0.3">
      <c r="A143" t="s">
        <v>142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D1F7A-DCA6-4BF1-8A02-B6A4A4953951}">
  <sheetPr codeName="Sheet2">
    <tabColor theme="4" tint="0.59999389629810485"/>
  </sheetPr>
  <dimension ref="A1:L143"/>
  <sheetViews>
    <sheetView workbookViewId="0">
      <selection activeCell="C5" sqref="C5"/>
    </sheetView>
  </sheetViews>
  <sheetFormatPr defaultRowHeight="14.4" x14ac:dyDescent="0.3"/>
  <cols>
    <col min="1" max="1" width="11.77734375" bestFit="1" customWidth="1"/>
    <col min="2" max="2" width="17.88671875" bestFit="1" customWidth="1"/>
    <col min="3" max="3" width="7.6640625" bestFit="1" customWidth="1"/>
    <col min="4" max="5" width="6" customWidth="1"/>
    <col min="6" max="6" width="6.21875" customWidth="1"/>
    <col min="7" max="7" width="5.44140625" customWidth="1"/>
    <col min="8" max="8" width="6.109375" customWidth="1"/>
    <col min="9" max="9" width="10.109375" customWidth="1"/>
    <col min="10" max="10" width="7.44140625" customWidth="1"/>
    <col min="11" max="11" width="13.6640625" customWidth="1"/>
    <col min="12" max="12" width="16.5546875" customWidth="1"/>
  </cols>
  <sheetData>
    <row r="1" spans="1:12" x14ac:dyDescent="0.3">
      <c r="A1" s="2" t="s">
        <v>143</v>
      </c>
      <c r="B1" s="2" t="s">
        <v>144</v>
      </c>
      <c r="C1" s="2" t="s">
        <v>145</v>
      </c>
      <c r="D1" s="2" t="s">
        <v>146</v>
      </c>
      <c r="E1" s="2" t="s">
        <v>147</v>
      </c>
      <c r="F1" s="2" t="s">
        <v>148</v>
      </c>
      <c r="G1" s="2" t="s">
        <v>149</v>
      </c>
      <c r="H1" s="2" t="s">
        <v>150</v>
      </c>
      <c r="I1" s="2" t="s">
        <v>151</v>
      </c>
      <c r="J1" s="2" t="s">
        <v>152</v>
      </c>
      <c r="K1" s="2" t="s">
        <v>445</v>
      </c>
      <c r="L1" s="2" t="s">
        <v>446</v>
      </c>
    </row>
    <row r="2" spans="1:12" x14ac:dyDescent="0.3">
      <c r="A2" s="3" t="s">
        <v>153</v>
      </c>
      <c r="B2" s="3" t="s">
        <v>154</v>
      </c>
      <c r="C2" s="3" t="s">
        <v>155</v>
      </c>
      <c r="D2" s="3">
        <v>45</v>
      </c>
      <c r="E2" s="3">
        <v>62</v>
      </c>
      <c r="F2" s="3">
        <v>71</v>
      </c>
      <c r="G2" s="3">
        <v>38</v>
      </c>
      <c r="H2" s="3">
        <v>54</v>
      </c>
      <c r="I2" s="3">
        <v>270</v>
      </c>
      <c r="J2" s="3">
        <v>500</v>
      </c>
      <c r="K2" s="7">
        <f>I2/J2</f>
        <v>0.54</v>
      </c>
      <c r="L2" s="4">
        <f>100%-K2</f>
        <v>0.45999999999999996</v>
      </c>
    </row>
    <row r="3" spans="1:12" x14ac:dyDescent="0.3">
      <c r="A3" s="3" t="s">
        <v>156</v>
      </c>
      <c r="B3" s="3" t="s">
        <v>157</v>
      </c>
      <c r="C3" s="3" t="s">
        <v>158</v>
      </c>
      <c r="D3" s="3">
        <v>52</v>
      </c>
      <c r="E3" s="3">
        <v>48</v>
      </c>
      <c r="F3" s="3">
        <v>66</v>
      </c>
      <c r="G3" s="3">
        <v>59</v>
      </c>
      <c r="H3" s="3">
        <v>41</v>
      </c>
      <c r="I3" s="3">
        <v>266</v>
      </c>
      <c r="J3" s="3">
        <v>500</v>
      </c>
      <c r="K3" s="7">
        <f t="shared" ref="K3:K66" si="0">I3/J3</f>
        <v>0.53200000000000003</v>
      </c>
      <c r="L3" s="4">
        <f t="shared" ref="L3:L66" si="1">100%-K3</f>
        <v>0.46799999999999997</v>
      </c>
    </row>
    <row r="4" spans="1:12" x14ac:dyDescent="0.3">
      <c r="A4" s="3" t="s">
        <v>159</v>
      </c>
      <c r="B4" s="3" t="s">
        <v>160</v>
      </c>
      <c r="C4" s="3" t="s">
        <v>161</v>
      </c>
      <c r="D4" s="3">
        <v>39</v>
      </c>
      <c r="E4" s="3">
        <v>55</v>
      </c>
      <c r="F4" s="3">
        <v>44</v>
      </c>
      <c r="G4" s="3">
        <v>60</v>
      </c>
      <c r="H4" s="3">
        <v>72</v>
      </c>
      <c r="I4" s="3">
        <v>270</v>
      </c>
      <c r="J4" s="3">
        <v>500</v>
      </c>
      <c r="K4" s="7">
        <f t="shared" si="0"/>
        <v>0.54</v>
      </c>
      <c r="L4" s="4">
        <f t="shared" si="1"/>
        <v>0.45999999999999996</v>
      </c>
    </row>
    <row r="5" spans="1:12" x14ac:dyDescent="0.3">
      <c r="A5" s="3" t="s">
        <v>162</v>
      </c>
      <c r="B5" s="3" t="s">
        <v>163</v>
      </c>
      <c r="C5" s="3" t="s">
        <v>164</v>
      </c>
      <c r="D5" s="3">
        <v>61</v>
      </c>
      <c r="E5" s="3">
        <v>73</v>
      </c>
      <c r="F5" s="3">
        <v>58</v>
      </c>
      <c r="G5" s="3">
        <v>46</v>
      </c>
      <c r="H5" s="3">
        <v>52</v>
      </c>
      <c r="I5" s="3">
        <v>290</v>
      </c>
      <c r="J5" s="3">
        <v>500</v>
      </c>
      <c r="K5" s="7">
        <f t="shared" si="0"/>
        <v>0.57999999999999996</v>
      </c>
      <c r="L5" s="4">
        <f t="shared" si="1"/>
        <v>0.42000000000000004</v>
      </c>
    </row>
    <row r="6" spans="1:12" x14ac:dyDescent="0.3">
      <c r="A6" s="3" t="s">
        <v>165</v>
      </c>
      <c r="B6" s="3" t="s">
        <v>166</v>
      </c>
      <c r="C6" s="3" t="s">
        <v>167</v>
      </c>
      <c r="D6" s="3">
        <v>34</v>
      </c>
      <c r="E6" s="3">
        <v>49</v>
      </c>
      <c r="F6" s="3">
        <v>63</v>
      </c>
      <c r="G6" s="3">
        <v>57</v>
      </c>
      <c r="H6" s="3">
        <v>68</v>
      </c>
      <c r="I6" s="3">
        <v>271</v>
      </c>
      <c r="J6" s="3">
        <v>500</v>
      </c>
      <c r="K6" s="7">
        <f t="shared" si="0"/>
        <v>0.54200000000000004</v>
      </c>
      <c r="L6" s="4">
        <f t="shared" si="1"/>
        <v>0.45799999999999996</v>
      </c>
    </row>
    <row r="7" spans="1:12" x14ac:dyDescent="0.3">
      <c r="A7" s="3" t="s">
        <v>168</v>
      </c>
      <c r="B7" s="3" t="s">
        <v>169</v>
      </c>
      <c r="C7" s="3" t="s">
        <v>170</v>
      </c>
      <c r="D7" s="3">
        <v>76</v>
      </c>
      <c r="E7" s="3">
        <v>58</v>
      </c>
      <c r="F7" s="3">
        <v>41</v>
      </c>
      <c r="G7" s="3">
        <v>69</v>
      </c>
      <c r="H7" s="3">
        <v>52</v>
      </c>
      <c r="I7" s="3">
        <v>296</v>
      </c>
      <c r="J7" s="3">
        <v>500</v>
      </c>
      <c r="K7" s="7">
        <f t="shared" si="0"/>
        <v>0.59199999999999997</v>
      </c>
      <c r="L7" s="4">
        <f t="shared" si="1"/>
        <v>0.40800000000000003</v>
      </c>
    </row>
    <row r="8" spans="1:12" x14ac:dyDescent="0.3">
      <c r="A8" s="3" t="s">
        <v>171</v>
      </c>
      <c r="B8" s="3" t="s">
        <v>172</v>
      </c>
      <c r="C8" s="3" t="s">
        <v>173</v>
      </c>
      <c r="D8" s="3">
        <v>64</v>
      </c>
      <c r="E8" s="3">
        <v>39</v>
      </c>
      <c r="F8" s="3">
        <v>55</v>
      </c>
      <c r="G8" s="3">
        <v>48</v>
      </c>
      <c r="H8" s="3">
        <v>60</v>
      </c>
      <c r="I8" s="3">
        <v>266</v>
      </c>
      <c r="J8" s="3">
        <v>500</v>
      </c>
      <c r="K8" s="7">
        <f t="shared" si="0"/>
        <v>0.53200000000000003</v>
      </c>
      <c r="L8" s="4">
        <f t="shared" si="1"/>
        <v>0.46799999999999997</v>
      </c>
    </row>
    <row r="9" spans="1:12" x14ac:dyDescent="0.3">
      <c r="A9" s="3" t="s">
        <v>174</v>
      </c>
      <c r="B9" s="3" t="s">
        <v>175</v>
      </c>
      <c r="C9" s="3" t="s">
        <v>176</v>
      </c>
      <c r="D9" s="3">
        <v>58</v>
      </c>
      <c r="E9" s="3">
        <v>44</v>
      </c>
      <c r="F9" s="3">
        <v>72</v>
      </c>
      <c r="G9" s="3">
        <v>53</v>
      </c>
      <c r="H9" s="3">
        <v>47</v>
      </c>
      <c r="I9" s="3">
        <v>274</v>
      </c>
      <c r="J9" s="3">
        <v>500</v>
      </c>
      <c r="K9" s="7">
        <f t="shared" si="0"/>
        <v>0.54800000000000004</v>
      </c>
      <c r="L9" s="4">
        <f t="shared" si="1"/>
        <v>0.45199999999999996</v>
      </c>
    </row>
    <row r="10" spans="1:12" x14ac:dyDescent="0.3">
      <c r="A10" s="3" t="s">
        <v>177</v>
      </c>
      <c r="B10" s="3" t="s">
        <v>178</v>
      </c>
      <c r="C10" s="3" t="s">
        <v>155</v>
      </c>
      <c r="D10" s="3">
        <v>49</v>
      </c>
      <c r="E10" s="3">
        <v>66</v>
      </c>
      <c r="F10" s="3">
        <v>38</v>
      </c>
      <c r="G10" s="3">
        <v>75</v>
      </c>
      <c r="H10" s="3">
        <v>41</v>
      </c>
      <c r="I10" s="3">
        <v>269</v>
      </c>
      <c r="J10" s="3">
        <v>500</v>
      </c>
      <c r="K10" s="7">
        <f t="shared" si="0"/>
        <v>0.53800000000000003</v>
      </c>
      <c r="L10" s="4">
        <f t="shared" si="1"/>
        <v>0.46199999999999997</v>
      </c>
    </row>
    <row r="11" spans="1:12" x14ac:dyDescent="0.3">
      <c r="A11" s="3" t="s">
        <v>179</v>
      </c>
      <c r="B11" s="3" t="s">
        <v>180</v>
      </c>
      <c r="C11" s="3" t="s">
        <v>158</v>
      </c>
      <c r="D11" s="3">
        <v>57</v>
      </c>
      <c r="E11" s="3">
        <v>61</v>
      </c>
      <c r="F11" s="3">
        <v>49</v>
      </c>
      <c r="G11" s="3">
        <v>52</v>
      </c>
      <c r="H11" s="3">
        <v>63</v>
      </c>
      <c r="I11" s="3">
        <v>282</v>
      </c>
      <c r="J11" s="3">
        <v>500</v>
      </c>
      <c r="K11" s="7">
        <f t="shared" si="0"/>
        <v>0.56399999999999995</v>
      </c>
      <c r="L11" s="4">
        <f t="shared" si="1"/>
        <v>0.43600000000000005</v>
      </c>
    </row>
    <row r="12" spans="1:12" x14ac:dyDescent="0.3">
      <c r="A12" s="3" t="s">
        <v>181</v>
      </c>
      <c r="B12" s="3" t="s">
        <v>182</v>
      </c>
      <c r="C12" s="3" t="s">
        <v>161</v>
      </c>
      <c r="D12" s="3">
        <v>43</v>
      </c>
      <c r="E12" s="3">
        <v>59</v>
      </c>
      <c r="F12" s="3">
        <v>71</v>
      </c>
      <c r="G12" s="3">
        <v>46</v>
      </c>
      <c r="H12" s="3">
        <v>54</v>
      </c>
      <c r="I12" s="3">
        <v>273</v>
      </c>
      <c r="J12" s="3">
        <v>500</v>
      </c>
      <c r="K12" s="7">
        <f t="shared" si="0"/>
        <v>0.54600000000000004</v>
      </c>
      <c r="L12" s="4">
        <f t="shared" si="1"/>
        <v>0.45399999999999996</v>
      </c>
    </row>
    <row r="13" spans="1:12" x14ac:dyDescent="0.3">
      <c r="A13" s="3" t="s">
        <v>183</v>
      </c>
      <c r="B13" s="3" t="s">
        <v>184</v>
      </c>
      <c r="C13" s="3" t="s">
        <v>164</v>
      </c>
      <c r="D13" s="3">
        <v>68</v>
      </c>
      <c r="E13" s="3">
        <v>52</v>
      </c>
      <c r="F13" s="3">
        <v>47</v>
      </c>
      <c r="G13" s="3">
        <v>61</v>
      </c>
      <c r="H13" s="3">
        <v>39</v>
      </c>
      <c r="I13" s="3">
        <v>267</v>
      </c>
      <c r="J13" s="3">
        <v>500</v>
      </c>
      <c r="K13" s="7">
        <f t="shared" si="0"/>
        <v>0.53400000000000003</v>
      </c>
      <c r="L13" s="4">
        <f t="shared" si="1"/>
        <v>0.46599999999999997</v>
      </c>
    </row>
    <row r="14" spans="1:12" x14ac:dyDescent="0.3">
      <c r="A14" s="3" t="s">
        <v>185</v>
      </c>
      <c r="B14" s="3" t="s">
        <v>186</v>
      </c>
      <c r="C14" s="3" t="s">
        <v>167</v>
      </c>
      <c r="D14" s="3">
        <v>72</v>
      </c>
      <c r="E14" s="3">
        <v>45</v>
      </c>
      <c r="F14" s="3">
        <v>58</v>
      </c>
      <c r="G14" s="3">
        <v>49</v>
      </c>
      <c r="H14" s="3">
        <v>66</v>
      </c>
      <c r="I14" s="3">
        <v>290</v>
      </c>
      <c r="J14" s="3">
        <v>500</v>
      </c>
      <c r="K14" s="7">
        <f t="shared" si="0"/>
        <v>0.57999999999999996</v>
      </c>
      <c r="L14" s="4">
        <f t="shared" si="1"/>
        <v>0.42000000000000004</v>
      </c>
    </row>
    <row r="15" spans="1:12" x14ac:dyDescent="0.3">
      <c r="A15" s="3" t="s">
        <v>187</v>
      </c>
      <c r="B15" s="3" t="s">
        <v>188</v>
      </c>
      <c r="C15" s="3" t="s">
        <v>170</v>
      </c>
      <c r="D15" s="3">
        <v>51</v>
      </c>
      <c r="E15" s="3">
        <v>63</v>
      </c>
      <c r="F15" s="3">
        <v>44</v>
      </c>
      <c r="G15" s="3">
        <v>70</v>
      </c>
      <c r="H15" s="3">
        <v>48</v>
      </c>
      <c r="I15" s="3">
        <v>276</v>
      </c>
      <c r="J15" s="3">
        <v>500</v>
      </c>
      <c r="K15" s="7">
        <f t="shared" si="0"/>
        <v>0.55200000000000005</v>
      </c>
      <c r="L15" s="4">
        <f t="shared" si="1"/>
        <v>0.44799999999999995</v>
      </c>
    </row>
    <row r="16" spans="1:12" x14ac:dyDescent="0.3">
      <c r="A16" s="3" t="s">
        <v>189</v>
      </c>
      <c r="B16" s="3" t="s">
        <v>190</v>
      </c>
      <c r="C16" s="3" t="s">
        <v>173</v>
      </c>
      <c r="D16" s="3">
        <v>46</v>
      </c>
      <c r="E16" s="3">
        <v>57</v>
      </c>
      <c r="F16" s="3">
        <v>69</v>
      </c>
      <c r="G16" s="3">
        <v>42</v>
      </c>
      <c r="H16" s="3">
        <v>53</v>
      </c>
      <c r="I16" s="3">
        <v>267</v>
      </c>
      <c r="J16" s="3">
        <v>500</v>
      </c>
      <c r="K16" s="7">
        <f t="shared" si="0"/>
        <v>0.53400000000000003</v>
      </c>
      <c r="L16" s="4">
        <f t="shared" si="1"/>
        <v>0.46599999999999997</v>
      </c>
    </row>
    <row r="17" spans="1:12" x14ac:dyDescent="0.3">
      <c r="A17" s="3" t="s">
        <v>191</v>
      </c>
      <c r="B17" s="3" t="s">
        <v>192</v>
      </c>
      <c r="C17" s="3" t="s">
        <v>176</v>
      </c>
      <c r="D17" s="3">
        <v>59</v>
      </c>
      <c r="E17" s="3">
        <v>41</v>
      </c>
      <c r="F17" s="3">
        <v>75</v>
      </c>
      <c r="G17" s="3">
        <v>38</v>
      </c>
      <c r="H17" s="3">
        <v>62</v>
      </c>
      <c r="I17" s="3">
        <v>275</v>
      </c>
      <c r="J17" s="3">
        <v>500</v>
      </c>
      <c r="K17" s="7">
        <f t="shared" si="0"/>
        <v>0.55000000000000004</v>
      </c>
      <c r="L17" s="4">
        <f t="shared" si="1"/>
        <v>0.44999999999999996</v>
      </c>
    </row>
    <row r="18" spans="1:12" x14ac:dyDescent="0.3">
      <c r="A18" s="3" t="s">
        <v>193</v>
      </c>
      <c r="B18" s="3" t="s">
        <v>194</v>
      </c>
      <c r="C18" s="3" t="s">
        <v>155</v>
      </c>
      <c r="D18" s="3">
        <v>62</v>
      </c>
      <c r="E18" s="3">
        <v>54</v>
      </c>
      <c r="F18" s="3">
        <v>46</v>
      </c>
      <c r="G18" s="3">
        <v>67</v>
      </c>
      <c r="H18" s="3">
        <v>49</v>
      </c>
      <c r="I18" s="3">
        <v>278</v>
      </c>
      <c r="J18" s="3">
        <v>500</v>
      </c>
      <c r="K18" s="7">
        <f t="shared" si="0"/>
        <v>0.55600000000000005</v>
      </c>
      <c r="L18" s="4">
        <f t="shared" si="1"/>
        <v>0.44399999999999995</v>
      </c>
    </row>
    <row r="19" spans="1:12" x14ac:dyDescent="0.3">
      <c r="A19" s="3" t="s">
        <v>195</v>
      </c>
      <c r="B19" s="3" t="s">
        <v>196</v>
      </c>
      <c r="C19" s="3" t="s">
        <v>158</v>
      </c>
      <c r="D19" s="3">
        <v>55</v>
      </c>
      <c r="E19" s="3">
        <v>48</v>
      </c>
      <c r="F19" s="3">
        <v>64</v>
      </c>
      <c r="G19" s="3">
        <v>51</v>
      </c>
      <c r="H19" s="3">
        <v>60</v>
      </c>
      <c r="I19" s="3">
        <v>278</v>
      </c>
      <c r="J19" s="3">
        <v>500</v>
      </c>
      <c r="K19" s="7">
        <f t="shared" si="0"/>
        <v>0.55600000000000005</v>
      </c>
      <c r="L19" s="4">
        <f t="shared" si="1"/>
        <v>0.44399999999999995</v>
      </c>
    </row>
    <row r="20" spans="1:12" x14ac:dyDescent="0.3">
      <c r="A20" s="3" t="s">
        <v>197</v>
      </c>
      <c r="B20" s="3" t="s">
        <v>198</v>
      </c>
      <c r="C20" s="3" t="s">
        <v>161</v>
      </c>
      <c r="D20" s="3">
        <v>38</v>
      </c>
      <c r="E20" s="3">
        <v>72</v>
      </c>
      <c r="F20" s="3">
        <v>53</v>
      </c>
      <c r="G20" s="3">
        <v>44</v>
      </c>
      <c r="H20" s="3">
        <v>59</v>
      </c>
      <c r="I20" s="3">
        <v>266</v>
      </c>
      <c r="J20" s="3">
        <v>500</v>
      </c>
      <c r="K20" s="7">
        <f t="shared" si="0"/>
        <v>0.53200000000000003</v>
      </c>
      <c r="L20" s="4">
        <f t="shared" si="1"/>
        <v>0.46799999999999997</v>
      </c>
    </row>
    <row r="21" spans="1:12" x14ac:dyDescent="0.3">
      <c r="A21" s="3" t="s">
        <v>199</v>
      </c>
      <c r="B21" s="3" t="s">
        <v>200</v>
      </c>
      <c r="C21" s="3" t="s">
        <v>164</v>
      </c>
      <c r="D21" s="3">
        <v>74</v>
      </c>
      <c r="E21" s="3">
        <v>39</v>
      </c>
      <c r="F21" s="3">
        <v>61</v>
      </c>
      <c r="G21" s="3">
        <v>52</v>
      </c>
      <c r="H21" s="3">
        <v>47</v>
      </c>
      <c r="I21" s="3">
        <v>273</v>
      </c>
      <c r="J21" s="3">
        <v>500</v>
      </c>
      <c r="K21" s="7">
        <f t="shared" si="0"/>
        <v>0.54600000000000004</v>
      </c>
      <c r="L21" s="4">
        <f t="shared" si="1"/>
        <v>0.45399999999999996</v>
      </c>
    </row>
    <row r="22" spans="1:12" x14ac:dyDescent="0.3">
      <c r="A22" s="3" t="s">
        <v>201</v>
      </c>
      <c r="B22" s="3" t="s">
        <v>202</v>
      </c>
      <c r="C22" s="3" t="s">
        <v>167</v>
      </c>
      <c r="D22" s="3">
        <v>63</v>
      </c>
      <c r="E22" s="3">
        <v>58</v>
      </c>
      <c r="F22" s="3">
        <v>49</v>
      </c>
      <c r="G22" s="3">
        <v>66</v>
      </c>
      <c r="H22" s="3">
        <v>54</v>
      </c>
      <c r="I22" s="3">
        <v>290</v>
      </c>
      <c r="J22" s="3">
        <v>500</v>
      </c>
      <c r="K22" s="7">
        <f t="shared" si="0"/>
        <v>0.57999999999999996</v>
      </c>
      <c r="L22" s="4">
        <f t="shared" si="1"/>
        <v>0.42000000000000004</v>
      </c>
    </row>
    <row r="23" spans="1:12" x14ac:dyDescent="0.3">
      <c r="A23" s="3" t="s">
        <v>203</v>
      </c>
      <c r="B23" s="3" t="s">
        <v>204</v>
      </c>
      <c r="C23" s="3" t="s">
        <v>170</v>
      </c>
      <c r="D23" s="3">
        <v>47</v>
      </c>
      <c r="E23" s="3">
        <v>69</v>
      </c>
      <c r="F23" s="3">
        <v>52</v>
      </c>
      <c r="G23" s="3">
        <v>43</v>
      </c>
      <c r="H23" s="3">
        <v>61</v>
      </c>
      <c r="I23" s="3">
        <v>272</v>
      </c>
      <c r="J23" s="3">
        <v>500</v>
      </c>
      <c r="K23" s="7">
        <f t="shared" si="0"/>
        <v>0.54400000000000004</v>
      </c>
      <c r="L23" s="4">
        <f t="shared" si="1"/>
        <v>0.45599999999999996</v>
      </c>
    </row>
    <row r="24" spans="1:12" x14ac:dyDescent="0.3">
      <c r="A24" s="3" t="s">
        <v>205</v>
      </c>
      <c r="B24" s="3" t="s">
        <v>206</v>
      </c>
      <c r="C24" s="3" t="s">
        <v>173</v>
      </c>
      <c r="D24" s="3">
        <v>56</v>
      </c>
      <c r="E24" s="3">
        <v>41</v>
      </c>
      <c r="F24" s="3">
        <v>68</v>
      </c>
      <c r="G24" s="3">
        <v>59</v>
      </c>
      <c r="H24" s="3">
        <v>45</v>
      </c>
      <c r="I24" s="3">
        <v>269</v>
      </c>
      <c r="J24" s="3">
        <v>500</v>
      </c>
      <c r="K24" s="7">
        <f t="shared" si="0"/>
        <v>0.53800000000000003</v>
      </c>
      <c r="L24" s="4">
        <f t="shared" si="1"/>
        <v>0.46199999999999997</v>
      </c>
    </row>
    <row r="25" spans="1:12" x14ac:dyDescent="0.3">
      <c r="A25" s="3" t="s">
        <v>207</v>
      </c>
      <c r="B25" s="3" t="s">
        <v>208</v>
      </c>
      <c r="C25" s="3" t="s">
        <v>176</v>
      </c>
      <c r="D25" s="3">
        <v>65</v>
      </c>
      <c r="E25" s="3">
        <v>53</v>
      </c>
      <c r="F25" s="3">
        <v>44</v>
      </c>
      <c r="G25" s="3">
        <v>72</v>
      </c>
      <c r="H25" s="3">
        <v>38</v>
      </c>
      <c r="I25" s="3">
        <v>272</v>
      </c>
      <c r="J25" s="3">
        <v>500</v>
      </c>
      <c r="K25" s="7">
        <f t="shared" si="0"/>
        <v>0.54400000000000004</v>
      </c>
      <c r="L25" s="4">
        <f t="shared" si="1"/>
        <v>0.45599999999999996</v>
      </c>
    </row>
    <row r="26" spans="1:12" x14ac:dyDescent="0.3">
      <c r="A26" s="3" t="s">
        <v>209</v>
      </c>
      <c r="B26" s="3" t="s">
        <v>210</v>
      </c>
      <c r="C26" s="3" t="s">
        <v>155</v>
      </c>
      <c r="D26" s="3">
        <v>48</v>
      </c>
      <c r="E26" s="3">
        <v>60</v>
      </c>
      <c r="F26" s="3">
        <v>71</v>
      </c>
      <c r="G26" s="3">
        <v>42</v>
      </c>
      <c r="H26" s="3">
        <v>57</v>
      </c>
      <c r="I26" s="3">
        <v>278</v>
      </c>
      <c r="J26" s="3">
        <v>500</v>
      </c>
      <c r="K26" s="7">
        <f t="shared" si="0"/>
        <v>0.55600000000000005</v>
      </c>
      <c r="L26" s="4">
        <f t="shared" si="1"/>
        <v>0.44399999999999995</v>
      </c>
    </row>
    <row r="27" spans="1:12" x14ac:dyDescent="0.3">
      <c r="A27" s="3" t="s">
        <v>211</v>
      </c>
      <c r="B27" s="3" t="s">
        <v>212</v>
      </c>
      <c r="C27" s="3" t="s">
        <v>158</v>
      </c>
      <c r="D27" s="3">
        <v>53</v>
      </c>
      <c r="E27" s="3">
        <v>46</v>
      </c>
      <c r="F27" s="3">
        <v>62</v>
      </c>
      <c r="G27" s="3">
        <v>75</v>
      </c>
      <c r="H27" s="3">
        <v>41</v>
      </c>
      <c r="I27" s="3">
        <v>277</v>
      </c>
      <c r="J27" s="3">
        <v>500</v>
      </c>
      <c r="K27" s="7">
        <f t="shared" si="0"/>
        <v>0.55400000000000005</v>
      </c>
      <c r="L27" s="4">
        <f t="shared" si="1"/>
        <v>0.44599999999999995</v>
      </c>
    </row>
    <row r="28" spans="1:12" x14ac:dyDescent="0.3">
      <c r="A28" s="3" t="s">
        <v>213</v>
      </c>
      <c r="B28" s="3" t="s">
        <v>214</v>
      </c>
      <c r="C28" s="3" t="s">
        <v>161</v>
      </c>
      <c r="D28" s="3">
        <v>69</v>
      </c>
      <c r="E28" s="3">
        <v>54</v>
      </c>
      <c r="F28" s="3">
        <v>39</v>
      </c>
      <c r="G28" s="3">
        <v>63</v>
      </c>
      <c r="H28" s="3">
        <v>58</v>
      </c>
      <c r="I28" s="3">
        <v>283</v>
      </c>
      <c r="J28" s="3">
        <v>500</v>
      </c>
      <c r="K28" s="7">
        <f t="shared" si="0"/>
        <v>0.56599999999999995</v>
      </c>
      <c r="L28" s="4">
        <f t="shared" si="1"/>
        <v>0.43400000000000005</v>
      </c>
    </row>
    <row r="29" spans="1:12" x14ac:dyDescent="0.3">
      <c r="A29" s="3" t="s">
        <v>215</v>
      </c>
      <c r="B29" s="3" t="s">
        <v>216</v>
      </c>
      <c r="C29" s="3" t="s">
        <v>164</v>
      </c>
      <c r="D29" s="3">
        <v>44</v>
      </c>
      <c r="E29" s="3">
        <v>73</v>
      </c>
      <c r="F29" s="3">
        <v>51</v>
      </c>
      <c r="G29" s="3">
        <v>48</v>
      </c>
      <c r="H29" s="3">
        <v>66</v>
      </c>
      <c r="I29" s="3">
        <v>282</v>
      </c>
      <c r="J29" s="3">
        <v>500</v>
      </c>
      <c r="K29" s="7">
        <f t="shared" si="0"/>
        <v>0.56399999999999995</v>
      </c>
      <c r="L29" s="4">
        <f t="shared" si="1"/>
        <v>0.43600000000000005</v>
      </c>
    </row>
    <row r="30" spans="1:12" x14ac:dyDescent="0.3">
      <c r="A30" s="3" t="s">
        <v>217</v>
      </c>
      <c r="B30" s="3" t="s">
        <v>218</v>
      </c>
      <c r="C30" s="3" t="s">
        <v>167</v>
      </c>
      <c r="D30" s="3">
        <v>61</v>
      </c>
      <c r="E30" s="3">
        <v>49</v>
      </c>
      <c r="F30" s="3">
        <v>67</v>
      </c>
      <c r="G30" s="3">
        <v>55</v>
      </c>
      <c r="H30" s="3">
        <v>43</v>
      </c>
      <c r="I30" s="3">
        <v>275</v>
      </c>
      <c r="J30" s="3">
        <v>500</v>
      </c>
      <c r="K30" s="7">
        <f t="shared" si="0"/>
        <v>0.55000000000000004</v>
      </c>
      <c r="L30" s="4">
        <f t="shared" si="1"/>
        <v>0.44999999999999996</v>
      </c>
    </row>
    <row r="31" spans="1:12" x14ac:dyDescent="0.3">
      <c r="A31" s="3" t="s">
        <v>219</v>
      </c>
      <c r="B31" s="3" t="s">
        <v>220</v>
      </c>
      <c r="C31" s="3" t="s">
        <v>170</v>
      </c>
      <c r="D31" s="3">
        <v>52</v>
      </c>
      <c r="E31" s="3">
        <v>64</v>
      </c>
      <c r="F31" s="3">
        <v>45</v>
      </c>
      <c r="G31" s="3">
        <v>70</v>
      </c>
      <c r="H31" s="3">
        <v>38</v>
      </c>
      <c r="I31" s="3">
        <v>269</v>
      </c>
      <c r="J31" s="3">
        <v>500</v>
      </c>
      <c r="K31" s="7">
        <f t="shared" si="0"/>
        <v>0.53800000000000003</v>
      </c>
      <c r="L31" s="4">
        <f t="shared" si="1"/>
        <v>0.46199999999999997</v>
      </c>
    </row>
    <row r="32" spans="1:12" x14ac:dyDescent="0.3">
      <c r="A32" s="3" t="s">
        <v>221</v>
      </c>
      <c r="B32" s="3" t="s">
        <v>222</v>
      </c>
      <c r="C32" s="3" t="s">
        <v>173</v>
      </c>
      <c r="D32" s="3">
        <v>58</v>
      </c>
      <c r="E32" s="3">
        <v>47</v>
      </c>
      <c r="F32" s="3">
        <v>72</v>
      </c>
      <c r="G32" s="3">
        <v>41</v>
      </c>
      <c r="H32" s="3">
        <v>63</v>
      </c>
      <c r="I32" s="3">
        <v>281</v>
      </c>
      <c r="J32" s="3">
        <v>500</v>
      </c>
      <c r="K32" s="7">
        <f t="shared" si="0"/>
        <v>0.56200000000000006</v>
      </c>
      <c r="L32" s="4">
        <f t="shared" si="1"/>
        <v>0.43799999999999994</v>
      </c>
    </row>
    <row r="33" spans="1:12" x14ac:dyDescent="0.3">
      <c r="A33" s="3" t="s">
        <v>223</v>
      </c>
      <c r="B33" s="3" t="s">
        <v>224</v>
      </c>
      <c r="C33" s="3" t="s">
        <v>176</v>
      </c>
      <c r="D33" s="3">
        <v>43</v>
      </c>
      <c r="E33" s="3">
        <v>66</v>
      </c>
      <c r="F33" s="3">
        <v>59</v>
      </c>
      <c r="G33" s="3">
        <v>52</v>
      </c>
      <c r="H33" s="3">
        <v>74</v>
      </c>
      <c r="I33" s="3">
        <v>294</v>
      </c>
      <c r="J33" s="3">
        <v>500</v>
      </c>
      <c r="K33" s="7">
        <f t="shared" si="0"/>
        <v>0.58799999999999997</v>
      </c>
      <c r="L33" s="4">
        <f t="shared" si="1"/>
        <v>0.41200000000000003</v>
      </c>
    </row>
    <row r="34" spans="1:12" x14ac:dyDescent="0.3">
      <c r="A34" s="3" t="s">
        <v>225</v>
      </c>
      <c r="B34" s="3" t="s">
        <v>226</v>
      </c>
      <c r="C34" s="3" t="s">
        <v>155</v>
      </c>
      <c r="D34" s="3">
        <v>71</v>
      </c>
      <c r="E34" s="3">
        <v>38</v>
      </c>
      <c r="F34" s="3">
        <v>64</v>
      </c>
      <c r="G34" s="3">
        <v>57</v>
      </c>
      <c r="H34" s="3">
        <v>49</v>
      </c>
      <c r="I34" s="3">
        <v>279</v>
      </c>
      <c r="J34" s="3">
        <v>500</v>
      </c>
      <c r="K34" s="7">
        <f t="shared" si="0"/>
        <v>0.55800000000000005</v>
      </c>
      <c r="L34" s="4">
        <f t="shared" si="1"/>
        <v>0.44199999999999995</v>
      </c>
    </row>
    <row r="35" spans="1:12" x14ac:dyDescent="0.3">
      <c r="A35" s="3" t="s">
        <v>227</v>
      </c>
      <c r="B35" s="3" t="s">
        <v>228</v>
      </c>
      <c r="C35" s="3" t="s">
        <v>158</v>
      </c>
      <c r="D35" s="3">
        <v>49</v>
      </c>
      <c r="E35" s="3">
        <v>75</v>
      </c>
      <c r="F35" s="3">
        <v>46</v>
      </c>
      <c r="G35" s="3">
        <v>61</v>
      </c>
      <c r="H35" s="3">
        <v>53</v>
      </c>
      <c r="I35" s="3">
        <v>284</v>
      </c>
      <c r="J35" s="3">
        <v>500</v>
      </c>
      <c r="K35" s="7">
        <f t="shared" si="0"/>
        <v>0.56799999999999995</v>
      </c>
      <c r="L35" s="4">
        <f t="shared" si="1"/>
        <v>0.43200000000000005</v>
      </c>
    </row>
    <row r="36" spans="1:12" x14ac:dyDescent="0.3">
      <c r="A36" s="3" t="s">
        <v>229</v>
      </c>
      <c r="B36" s="3" t="s">
        <v>230</v>
      </c>
      <c r="C36" s="3" t="s">
        <v>161</v>
      </c>
      <c r="D36" s="3">
        <v>60</v>
      </c>
      <c r="E36" s="3">
        <v>52</v>
      </c>
      <c r="F36" s="3">
        <v>68</v>
      </c>
      <c r="G36" s="3">
        <v>39</v>
      </c>
      <c r="H36" s="3">
        <v>55</v>
      </c>
      <c r="I36" s="3">
        <v>274</v>
      </c>
      <c r="J36" s="3">
        <v>500</v>
      </c>
      <c r="K36" s="7">
        <f t="shared" si="0"/>
        <v>0.54800000000000004</v>
      </c>
      <c r="L36" s="4">
        <f t="shared" si="1"/>
        <v>0.45199999999999996</v>
      </c>
    </row>
    <row r="37" spans="1:12" x14ac:dyDescent="0.3">
      <c r="A37" s="3" t="s">
        <v>231</v>
      </c>
      <c r="B37" s="3" t="s">
        <v>232</v>
      </c>
      <c r="C37" s="3" t="s">
        <v>164</v>
      </c>
      <c r="D37" s="3">
        <v>45</v>
      </c>
      <c r="E37" s="3">
        <v>63</v>
      </c>
      <c r="F37" s="3">
        <v>54</v>
      </c>
      <c r="G37" s="3">
        <v>72</v>
      </c>
      <c r="H37" s="3">
        <v>41</v>
      </c>
      <c r="I37" s="3">
        <v>275</v>
      </c>
      <c r="J37" s="3">
        <v>500</v>
      </c>
      <c r="K37" s="7">
        <f t="shared" si="0"/>
        <v>0.55000000000000004</v>
      </c>
      <c r="L37" s="4">
        <f t="shared" si="1"/>
        <v>0.44999999999999996</v>
      </c>
    </row>
    <row r="38" spans="1:12" x14ac:dyDescent="0.3">
      <c r="A38" s="3" t="s">
        <v>233</v>
      </c>
      <c r="B38" s="3" t="s">
        <v>234</v>
      </c>
      <c r="C38" s="3" t="s">
        <v>167</v>
      </c>
      <c r="D38" s="3">
        <v>66</v>
      </c>
      <c r="E38" s="3">
        <v>48</v>
      </c>
      <c r="F38" s="3">
        <v>59</v>
      </c>
      <c r="G38" s="3">
        <v>44</v>
      </c>
      <c r="H38" s="3">
        <v>70</v>
      </c>
      <c r="I38" s="3">
        <v>287</v>
      </c>
      <c r="J38" s="3">
        <v>500</v>
      </c>
      <c r="K38" s="7">
        <f t="shared" si="0"/>
        <v>0.57399999999999995</v>
      </c>
      <c r="L38" s="4">
        <f t="shared" si="1"/>
        <v>0.42600000000000005</v>
      </c>
    </row>
    <row r="39" spans="1:12" x14ac:dyDescent="0.3">
      <c r="A39" s="3" t="s">
        <v>235</v>
      </c>
      <c r="B39" s="3" t="s">
        <v>236</v>
      </c>
      <c r="C39" s="3" t="s">
        <v>170</v>
      </c>
      <c r="D39" s="3">
        <v>53</v>
      </c>
      <c r="E39" s="3">
        <v>69</v>
      </c>
      <c r="F39" s="3">
        <v>42</v>
      </c>
      <c r="G39" s="3">
        <v>61</v>
      </c>
      <c r="H39" s="3">
        <v>47</v>
      </c>
      <c r="I39" s="3">
        <v>272</v>
      </c>
      <c r="J39" s="3">
        <v>500</v>
      </c>
      <c r="K39" s="7">
        <f t="shared" si="0"/>
        <v>0.54400000000000004</v>
      </c>
      <c r="L39" s="4">
        <f t="shared" si="1"/>
        <v>0.45599999999999996</v>
      </c>
    </row>
    <row r="40" spans="1:12" x14ac:dyDescent="0.3">
      <c r="A40" s="3" t="s">
        <v>237</v>
      </c>
      <c r="B40" s="3" t="s">
        <v>238</v>
      </c>
      <c r="C40" s="3" t="s">
        <v>173</v>
      </c>
      <c r="D40" s="3">
        <v>57</v>
      </c>
      <c r="E40" s="3">
        <v>41</v>
      </c>
      <c r="F40" s="3">
        <v>73</v>
      </c>
      <c r="G40" s="3">
        <v>56</v>
      </c>
      <c r="H40" s="3">
        <v>49</v>
      </c>
      <c r="I40" s="3">
        <v>276</v>
      </c>
      <c r="J40" s="3">
        <v>500</v>
      </c>
      <c r="K40" s="7">
        <f t="shared" si="0"/>
        <v>0.55200000000000005</v>
      </c>
      <c r="L40" s="4">
        <f t="shared" si="1"/>
        <v>0.44799999999999995</v>
      </c>
    </row>
    <row r="41" spans="1:12" x14ac:dyDescent="0.3">
      <c r="A41" s="3" t="s">
        <v>239</v>
      </c>
      <c r="B41" s="3" t="s">
        <v>240</v>
      </c>
      <c r="C41" s="3" t="s">
        <v>176</v>
      </c>
      <c r="D41" s="3">
        <v>62</v>
      </c>
      <c r="E41" s="3">
        <v>55</v>
      </c>
      <c r="F41" s="3">
        <v>48</v>
      </c>
      <c r="G41" s="3">
        <v>67</v>
      </c>
      <c r="H41" s="3">
        <v>43</v>
      </c>
      <c r="I41" s="3">
        <v>275</v>
      </c>
      <c r="J41" s="3">
        <v>500</v>
      </c>
      <c r="K41" s="7">
        <f t="shared" si="0"/>
        <v>0.55000000000000004</v>
      </c>
      <c r="L41" s="4">
        <f t="shared" si="1"/>
        <v>0.44999999999999996</v>
      </c>
    </row>
    <row r="42" spans="1:12" x14ac:dyDescent="0.3">
      <c r="A42" s="3" t="s">
        <v>241</v>
      </c>
      <c r="B42" s="3" t="s">
        <v>242</v>
      </c>
      <c r="C42" s="3" t="s">
        <v>155</v>
      </c>
      <c r="D42" s="3">
        <v>54</v>
      </c>
      <c r="E42" s="3">
        <v>63</v>
      </c>
      <c r="F42" s="3">
        <v>47</v>
      </c>
      <c r="G42" s="3">
        <v>71</v>
      </c>
      <c r="H42" s="3">
        <v>52</v>
      </c>
      <c r="I42" s="3">
        <v>287</v>
      </c>
      <c r="J42" s="3">
        <v>500</v>
      </c>
      <c r="K42" s="7">
        <f t="shared" si="0"/>
        <v>0.57399999999999995</v>
      </c>
      <c r="L42" s="4">
        <f t="shared" si="1"/>
        <v>0.42600000000000005</v>
      </c>
    </row>
    <row r="43" spans="1:12" x14ac:dyDescent="0.3">
      <c r="A43" s="3" t="s">
        <v>243</v>
      </c>
      <c r="B43" s="3" t="s">
        <v>244</v>
      </c>
      <c r="C43" s="3" t="s">
        <v>158</v>
      </c>
      <c r="D43" s="3">
        <v>61</v>
      </c>
      <c r="E43" s="3">
        <v>45</v>
      </c>
      <c r="F43" s="3">
        <v>68</v>
      </c>
      <c r="G43" s="3">
        <v>49</v>
      </c>
      <c r="H43" s="3">
        <v>57</v>
      </c>
      <c r="I43" s="3">
        <v>280</v>
      </c>
      <c r="J43" s="3">
        <v>500</v>
      </c>
      <c r="K43" s="7">
        <f t="shared" si="0"/>
        <v>0.56000000000000005</v>
      </c>
      <c r="L43" s="4">
        <f t="shared" si="1"/>
        <v>0.43999999999999995</v>
      </c>
    </row>
    <row r="44" spans="1:12" x14ac:dyDescent="0.3">
      <c r="A44" s="3" t="s">
        <v>245</v>
      </c>
      <c r="B44" s="3" t="s">
        <v>246</v>
      </c>
      <c r="C44" s="3" t="s">
        <v>161</v>
      </c>
      <c r="D44" s="3">
        <v>48</v>
      </c>
      <c r="E44" s="3">
        <v>72</v>
      </c>
      <c r="F44" s="3">
        <v>53</v>
      </c>
      <c r="G44" s="3">
        <v>44</v>
      </c>
      <c r="H44" s="3">
        <v>60</v>
      </c>
      <c r="I44" s="3">
        <v>277</v>
      </c>
      <c r="J44" s="3">
        <v>500</v>
      </c>
      <c r="K44" s="7">
        <f t="shared" si="0"/>
        <v>0.55400000000000005</v>
      </c>
      <c r="L44" s="4">
        <f t="shared" si="1"/>
        <v>0.44599999999999995</v>
      </c>
    </row>
    <row r="45" spans="1:12" x14ac:dyDescent="0.3">
      <c r="A45" s="3" t="s">
        <v>247</v>
      </c>
      <c r="B45" s="3" t="s">
        <v>248</v>
      </c>
      <c r="C45" s="3" t="s">
        <v>164</v>
      </c>
      <c r="D45" s="3">
        <v>66</v>
      </c>
      <c r="E45" s="3">
        <v>51</v>
      </c>
      <c r="F45" s="3">
        <v>39</v>
      </c>
      <c r="G45" s="3">
        <v>75</v>
      </c>
      <c r="H45" s="3">
        <v>46</v>
      </c>
      <c r="I45" s="3">
        <v>277</v>
      </c>
      <c r="J45" s="3">
        <v>500</v>
      </c>
      <c r="K45" s="7">
        <f t="shared" si="0"/>
        <v>0.55400000000000005</v>
      </c>
      <c r="L45" s="4">
        <f t="shared" si="1"/>
        <v>0.44599999999999995</v>
      </c>
    </row>
    <row r="46" spans="1:12" x14ac:dyDescent="0.3">
      <c r="A46" s="3" t="s">
        <v>249</v>
      </c>
      <c r="B46" s="3" t="s">
        <v>250</v>
      </c>
      <c r="C46" s="3" t="s">
        <v>167</v>
      </c>
      <c r="D46" s="3">
        <v>59</v>
      </c>
      <c r="E46" s="3">
        <v>64</v>
      </c>
      <c r="F46" s="3">
        <v>42</v>
      </c>
      <c r="G46" s="3">
        <v>58</v>
      </c>
      <c r="H46" s="3">
        <v>73</v>
      </c>
      <c r="I46" s="3">
        <v>296</v>
      </c>
      <c r="J46" s="3">
        <v>500</v>
      </c>
      <c r="K46" s="7">
        <f t="shared" si="0"/>
        <v>0.59199999999999997</v>
      </c>
      <c r="L46" s="4">
        <f t="shared" si="1"/>
        <v>0.40800000000000003</v>
      </c>
    </row>
    <row r="47" spans="1:12" x14ac:dyDescent="0.3">
      <c r="A47" s="3" t="s">
        <v>251</v>
      </c>
      <c r="B47" s="3" t="s">
        <v>252</v>
      </c>
      <c r="C47" s="3" t="s">
        <v>170</v>
      </c>
      <c r="D47" s="3">
        <v>41</v>
      </c>
      <c r="E47" s="3">
        <v>57</v>
      </c>
      <c r="F47" s="3">
        <v>69</v>
      </c>
      <c r="G47" s="3">
        <v>52</v>
      </c>
      <c r="H47" s="3">
        <v>48</v>
      </c>
      <c r="I47" s="3">
        <v>267</v>
      </c>
      <c r="J47" s="3">
        <v>500</v>
      </c>
      <c r="K47" s="7">
        <f t="shared" si="0"/>
        <v>0.53400000000000003</v>
      </c>
      <c r="L47" s="4">
        <f t="shared" si="1"/>
        <v>0.46599999999999997</v>
      </c>
    </row>
    <row r="48" spans="1:12" x14ac:dyDescent="0.3">
      <c r="A48" s="3" t="s">
        <v>253</v>
      </c>
      <c r="B48" s="3" t="s">
        <v>254</v>
      </c>
      <c r="C48" s="3" t="s">
        <v>173</v>
      </c>
      <c r="D48" s="3">
        <v>74</v>
      </c>
      <c r="E48" s="3">
        <v>38</v>
      </c>
      <c r="F48" s="3">
        <v>55</v>
      </c>
      <c r="G48" s="3">
        <v>61</v>
      </c>
      <c r="H48" s="3">
        <v>43</v>
      </c>
      <c r="I48" s="3">
        <v>271</v>
      </c>
      <c r="J48" s="3">
        <v>500</v>
      </c>
      <c r="K48" s="7">
        <f t="shared" si="0"/>
        <v>0.54200000000000004</v>
      </c>
      <c r="L48" s="4">
        <f t="shared" si="1"/>
        <v>0.45799999999999996</v>
      </c>
    </row>
    <row r="49" spans="1:12" x14ac:dyDescent="0.3">
      <c r="A49" s="3" t="s">
        <v>255</v>
      </c>
      <c r="B49" s="3" t="s">
        <v>256</v>
      </c>
      <c r="C49" s="3" t="s">
        <v>176</v>
      </c>
      <c r="D49" s="3">
        <v>63</v>
      </c>
      <c r="E49" s="3">
        <v>49</v>
      </c>
      <c r="F49" s="3">
        <v>71</v>
      </c>
      <c r="G49" s="3">
        <v>45</v>
      </c>
      <c r="H49" s="3">
        <v>58</v>
      </c>
      <c r="I49" s="3">
        <v>286</v>
      </c>
      <c r="J49" s="3">
        <v>500</v>
      </c>
      <c r="K49" s="7">
        <f t="shared" si="0"/>
        <v>0.57199999999999995</v>
      </c>
      <c r="L49" s="4">
        <f t="shared" si="1"/>
        <v>0.42800000000000005</v>
      </c>
    </row>
    <row r="50" spans="1:12" x14ac:dyDescent="0.3">
      <c r="A50" s="3" t="s">
        <v>257</v>
      </c>
      <c r="B50" s="3" t="s">
        <v>258</v>
      </c>
      <c r="C50" s="3" t="s">
        <v>155</v>
      </c>
      <c r="D50" s="3">
        <v>52</v>
      </c>
      <c r="E50" s="3">
        <v>67</v>
      </c>
      <c r="F50" s="3">
        <v>44</v>
      </c>
      <c r="G50" s="3">
        <v>73</v>
      </c>
      <c r="H50" s="3">
        <v>39</v>
      </c>
      <c r="I50" s="3">
        <v>275</v>
      </c>
      <c r="J50" s="3">
        <v>500</v>
      </c>
      <c r="K50" s="7">
        <f t="shared" si="0"/>
        <v>0.55000000000000004</v>
      </c>
      <c r="L50" s="4">
        <f t="shared" si="1"/>
        <v>0.44999999999999996</v>
      </c>
    </row>
    <row r="51" spans="1:12" x14ac:dyDescent="0.3">
      <c r="A51" s="3" t="s">
        <v>259</v>
      </c>
      <c r="B51" s="3" t="s">
        <v>260</v>
      </c>
      <c r="C51" s="3" t="s">
        <v>158</v>
      </c>
      <c r="D51" s="3">
        <v>58</v>
      </c>
      <c r="E51" s="3">
        <v>46</v>
      </c>
      <c r="F51" s="3">
        <v>62</v>
      </c>
      <c r="G51" s="3">
        <v>54</v>
      </c>
      <c r="H51" s="3">
        <v>70</v>
      </c>
      <c r="I51" s="3">
        <v>290</v>
      </c>
      <c r="J51" s="3">
        <v>500</v>
      </c>
      <c r="K51" s="7">
        <f t="shared" si="0"/>
        <v>0.57999999999999996</v>
      </c>
      <c r="L51" s="4">
        <f t="shared" si="1"/>
        <v>0.42000000000000004</v>
      </c>
    </row>
    <row r="52" spans="1:12" x14ac:dyDescent="0.3">
      <c r="A52" s="3" t="s">
        <v>261</v>
      </c>
      <c r="B52" s="3" t="s">
        <v>262</v>
      </c>
      <c r="C52" s="3" t="s">
        <v>161</v>
      </c>
      <c r="D52" s="3">
        <v>45</v>
      </c>
      <c r="E52" s="3">
        <v>61</v>
      </c>
      <c r="F52" s="3">
        <v>53</v>
      </c>
      <c r="G52" s="3">
        <v>68</v>
      </c>
      <c r="H52" s="3">
        <v>47</v>
      </c>
      <c r="I52" s="3">
        <v>274</v>
      </c>
      <c r="J52" s="3">
        <v>500</v>
      </c>
      <c r="K52" s="7">
        <f t="shared" si="0"/>
        <v>0.54800000000000004</v>
      </c>
      <c r="L52" s="4">
        <f t="shared" si="1"/>
        <v>0.45199999999999996</v>
      </c>
    </row>
    <row r="53" spans="1:12" x14ac:dyDescent="0.3">
      <c r="A53" s="3" t="s">
        <v>263</v>
      </c>
      <c r="B53" s="3" t="s">
        <v>264</v>
      </c>
      <c r="C53" s="3" t="s">
        <v>164</v>
      </c>
      <c r="D53" s="3">
        <v>69</v>
      </c>
      <c r="E53" s="3">
        <v>52</v>
      </c>
      <c r="F53" s="3">
        <v>48</v>
      </c>
      <c r="G53" s="3">
        <v>60</v>
      </c>
      <c r="H53" s="3">
        <v>41</v>
      </c>
      <c r="I53" s="3">
        <v>270</v>
      </c>
      <c r="J53" s="3">
        <v>500</v>
      </c>
      <c r="K53" s="7">
        <f t="shared" si="0"/>
        <v>0.54</v>
      </c>
      <c r="L53" s="4">
        <f t="shared" si="1"/>
        <v>0.45999999999999996</v>
      </c>
    </row>
    <row r="54" spans="1:12" x14ac:dyDescent="0.3">
      <c r="A54" s="3" t="s">
        <v>265</v>
      </c>
      <c r="B54" s="3" t="s">
        <v>266</v>
      </c>
      <c r="C54" s="3" t="s">
        <v>167</v>
      </c>
      <c r="D54" s="3">
        <v>56</v>
      </c>
      <c r="E54" s="3">
        <v>74</v>
      </c>
      <c r="F54" s="3">
        <v>39</v>
      </c>
      <c r="G54" s="3">
        <v>51</v>
      </c>
      <c r="H54" s="3">
        <v>63</v>
      </c>
      <c r="I54" s="3">
        <v>283</v>
      </c>
      <c r="J54" s="3">
        <v>500</v>
      </c>
      <c r="K54" s="7">
        <f t="shared" si="0"/>
        <v>0.56599999999999995</v>
      </c>
      <c r="L54" s="4">
        <f t="shared" si="1"/>
        <v>0.43400000000000005</v>
      </c>
    </row>
    <row r="55" spans="1:12" x14ac:dyDescent="0.3">
      <c r="A55" s="3" t="s">
        <v>267</v>
      </c>
      <c r="B55" s="3" t="s">
        <v>268</v>
      </c>
      <c r="C55" s="3" t="s">
        <v>170</v>
      </c>
      <c r="D55" s="3">
        <v>62</v>
      </c>
      <c r="E55" s="3">
        <v>43</v>
      </c>
      <c r="F55" s="3">
        <v>67</v>
      </c>
      <c r="G55" s="3">
        <v>55</v>
      </c>
      <c r="H55" s="3">
        <v>49</v>
      </c>
      <c r="I55" s="3">
        <v>276</v>
      </c>
      <c r="J55" s="3">
        <v>500</v>
      </c>
      <c r="K55" s="7">
        <f t="shared" si="0"/>
        <v>0.55200000000000005</v>
      </c>
      <c r="L55" s="4">
        <f t="shared" si="1"/>
        <v>0.44799999999999995</v>
      </c>
    </row>
    <row r="56" spans="1:12" x14ac:dyDescent="0.3">
      <c r="A56" s="3" t="s">
        <v>269</v>
      </c>
      <c r="B56" s="3" t="s">
        <v>270</v>
      </c>
      <c r="C56" s="3" t="s">
        <v>173</v>
      </c>
      <c r="D56" s="3">
        <v>47</v>
      </c>
      <c r="E56" s="3">
        <v>66</v>
      </c>
      <c r="F56" s="3">
        <v>58</v>
      </c>
      <c r="G56" s="3">
        <v>42</v>
      </c>
      <c r="H56" s="3">
        <v>71</v>
      </c>
      <c r="I56" s="3">
        <v>284</v>
      </c>
      <c r="J56" s="3">
        <v>500</v>
      </c>
      <c r="K56" s="7">
        <f t="shared" si="0"/>
        <v>0.56799999999999995</v>
      </c>
      <c r="L56" s="4">
        <f t="shared" si="1"/>
        <v>0.43200000000000005</v>
      </c>
    </row>
    <row r="57" spans="1:12" x14ac:dyDescent="0.3">
      <c r="A57" s="3" t="s">
        <v>271</v>
      </c>
      <c r="B57" s="3" t="s">
        <v>272</v>
      </c>
      <c r="C57" s="3" t="s">
        <v>176</v>
      </c>
      <c r="D57" s="3">
        <v>73</v>
      </c>
      <c r="E57" s="3">
        <v>54</v>
      </c>
      <c r="F57" s="3">
        <v>46</v>
      </c>
      <c r="G57" s="3">
        <v>63</v>
      </c>
      <c r="H57" s="3">
        <v>38</v>
      </c>
      <c r="I57" s="3">
        <v>274</v>
      </c>
      <c r="J57" s="3">
        <v>500</v>
      </c>
      <c r="K57" s="7">
        <f t="shared" si="0"/>
        <v>0.54800000000000004</v>
      </c>
      <c r="L57" s="4">
        <f t="shared" si="1"/>
        <v>0.45199999999999996</v>
      </c>
    </row>
    <row r="58" spans="1:12" x14ac:dyDescent="0.3">
      <c r="A58" s="3" t="s">
        <v>273</v>
      </c>
      <c r="B58" s="3" t="s">
        <v>274</v>
      </c>
      <c r="C58" s="3" t="s">
        <v>155</v>
      </c>
      <c r="D58" s="3">
        <v>51</v>
      </c>
      <c r="E58" s="3">
        <v>69</v>
      </c>
      <c r="F58" s="3">
        <v>44</v>
      </c>
      <c r="G58" s="3">
        <v>57</v>
      </c>
      <c r="H58" s="3">
        <v>62</v>
      </c>
      <c r="I58" s="3">
        <v>283</v>
      </c>
      <c r="J58" s="3">
        <v>500</v>
      </c>
      <c r="K58" s="7">
        <f t="shared" si="0"/>
        <v>0.56599999999999995</v>
      </c>
      <c r="L58" s="4">
        <f t="shared" si="1"/>
        <v>0.43400000000000005</v>
      </c>
    </row>
    <row r="59" spans="1:12" x14ac:dyDescent="0.3">
      <c r="A59" s="3" t="s">
        <v>275</v>
      </c>
      <c r="B59" s="3" t="s">
        <v>276</v>
      </c>
      <c r="C59" s="3" t="s">
        <v>158</v>
      </c>
      <c r="D59" s="3">
        <v>64</v>
      </c>
      <c r="E59" s="3">
        <v>48</v>
      </c>
      <c r="F59" s="3">
        <v>72</v>
      </c>
      <c r="G59" s="3">
        <v>41</v>
      </c>
      <c r="H59" s="3">
        <v>59</v>
      </c>
      <c r="I59" s="3">
        <v>284</v>
      </c>
      <c r="J59" s="3">
        <v>500</v>
      </c>
      <c r="K59" s="7">
        <f t="shared" si="0"/>
        <v>0.56799999999999995</v>
      </c>
      <c r="L59" s="4">
        <f t="shared" si="1"/>
        <v>0.43200000000000005</v>
      </c>
    </row>
    <row r="60" spans="1:12" x14ac:dyDescent="0.3">
      <c r="A60" s="3" t="s">
        <v>277</v>
      </c>
      <c r="B60" s="3" t="s">
        <v>278</v>
      </c>
      <c r="C60" s="3" t="s">
        <v>161</v>
      </c>
      <c r="D60" s="3">
        <v>55</v>
      </c>
      <c r="E60" s="3">
        <v>63</v>
      </c>
      <c r="F60" s="3">
        <v>47</v>
      </c>
      <c r="G60" s="3">
        <v>70</v>
      </c>
      <c r="H60" s="3">
        <v>52</v>
      </c>
      <c r="I60" s="3">
        <v>287</v>
      </c>
      <c r="J60" s="3">
        <v>500</v>
      </c>
      <c r="K60" s="7">
        <f t="shared" si="0"/>
        <v>0.57399999999999995</v>
      </c>
      <c r="L60" s="4">
        <f t="shared" si="1"/>
        <v>0.42600000000000005</v>
      </c>
    </row>
    <row r="61" spans="1:12" x14ac:dyDescent="0.3">
      <c r="A61" s="3" t="s">
        <v>279</v>
      </c>
      <c r="B61" s="3" t="s">
        <v>280</v>
      </c>
      <c r="C61" s="3" t="s">
        <v>164</v>
      </c>
      <c r="D61" s="3">
        <v>68</v>
      </c>
      <c r="E61" s="3">
        <v>45</v>
      </c>
      <c r="F61" s="3">
        <v>61</v>
      </c>
      <c r="G61" s="3">
        <v>53</v>
      </c>
      <c r="H61" s="3">
        <v>74</v>
      </c>
      <c r="I61" s="3">
        <v>301</v>
      </c>
      <c r="J61" s="3">
        <v>500</v>
      </c>
      <c r="K61" s="7">
        <f t="shared" si="0"/>
        <v>0.60199999999999998</v>
      </c>
      <c r="L61" s="4">
        <f t="shared" si="1"/>
        <v>0.39800000000000002</v>
      </c>
    </row>
    <row r="62" spans="1:12" x14ac:dyDescent="0.3">
      <c r="A62" s="3" t="s">
        <v>281</v>
      </c>
      <c r="B62" s="3" t="s">
        <v>282</v>
      </c>
      <c r="C62" s="3" t="s">
        <v>167</v>
      </c>
      <c r="D62" s="3">
        <v>43</v>
      </c>
      <c r="E62" s="3">
        <v>58</v>
      </c>
      <c r="F62" s="3">
        <v>69</v>
      </c>
      <c r="G62" s="3">
        <v>47</v>
      </c>
      <c r="H62" s="3">
        <v>60</v>
      </c>
      <c r="I62" s="3">
        <v>277</v>
      </c>
      <c r="J62" s="3">
        <v>500</v>
      </c>
      <c r="K62" s="7">
        <f t="shared" si="0"/>
        <v>0.55400000000000005</v>
      </c>
      <c r="L62" s="4">
        <f t="shared" si="1"/>
        <v>0.44599999999999995</v>
      </c>
    </row>
    <row r="63" spans="1:12" x14ac:dyDescent="0.3">
      <c r="A63" s="3" t="s">
        <v>283</v>
      </c>
      <c r="B63" s="3" t="s">
        <v>284</v>
      </c>
      <c r="C63" s="3" t="s">
        <v>170</v>
      </c>
      <c r="D63" s="3">
        <v>57</v>
      </c>
      <c r="E63" s="3">
        <v>41</v>
      </c>
      <c r="F63" s="3">
        <v>75</v>
      </c>
      <c r="G63" s="3">
        <v>54</v>
      </c>
      <c r="H63" s="3">
        <v>46</v>
      </c>
      <c r="I63" s="3">
        <v>273</v>
      </c>
      <c r="J63" s="3">
        <v>500</v>
      </c>
      <c r="K63" s="7">
        <f t="shared" si="0"/>
        <v>0.54600000000000004</v>
      </c>
      <c r="L63" s="4">
        <f t="shared" si="1"/>
        <v>0.45399999999999996</v>
      </c>
    </row>
    <row r="64" spans="1:12" x14ac:dyDescent="0.3">
      <c r="A64" s="3" t="s">
        <v>285</v>
      </c>
      <c r="B64" s="3" t="s">
        <v>286</v>
      </c>
      <c r="C64" s="3" t="s">
        <v>173</v>
      </c>
      <c r="D64" s="3">
        <v>60</v>
      </c>
      <c r="E64" s="3">
        <v>52</v>
      </c>
      <c r="F64" s="3">
        <v>48</v>
      </c>
      <c r="G64" s="3">
        <v>67</v>
      </c>
      <c r="H64" s="3">
        <v>55</v>
      </c>
      <c r="I64" s="3">
        <v>282</v>
      </c>
      <c r="J64" s="3">
        <v>500</v>
      </c>
      <c r="K64" s="7">
        <f t="shared" si="0"/>
        <v>0.56399999999999995</v>
      </c>
      <c r="L64" s="4">
        <f t="shared" si="1"/>
        <v>0.43600000000000005</v>
      </c>
    </row>
    <row r="65" spans="1:12" x14ac:dyDescent="0.3">
      <c r="A65" s="3" t="s">
        <v>287</v>
      </c>
      <c r="B65" s="3" t="s">
        <v>288</v>
      </c>
      <c r="C65" s="3" t="s">
        <v>176</v>
      </c>
      <c r="D65" s="3">
        <v>49</v>
      </c>
      <c r="E65" s="3">
        <v>71</v>
      </c>
      <c r="F65" s="3">
        <v>44</v>
      </c>
      <c r="G65" s="3">
        <v>63</v>
      </c>
      <c r="H65" s="3">
        <v>58</v>
      </c>
      <c r="I65" s="3">
        <v>285</v>
      </c>
      <c r="J65" s="3">
        <v>500</v>
      </c>
      <c r="K65" s="7">
        <f t="shared" si="0"/>
        <v>0.56999999999999995</v>
      </c>
      <c r="L65" s="4">
        <f t="shared" si="1"/>
        <v>0.43000000000000005</v>
      </c>
    </row>
    <row r="66" spans="1:12" x14ac:dyDescent="0.3">
      <c r="A66" s="3" t="s">
        <v>289</v>
      </c>
      <c r="B66" s="3" t="s">
        <v>290</v>
      </c>
      <c r="C66" s="3" t="s">
        <v>155</v>
      </c>
      <c r="D66" s="3">
        <v>72</v>
      </c>
      <c r="E66" s="3">
        <v>39</v>
      </c>
      <c r="F66" s="3">
        <v>66</v>
      </c>
      <c r="G66" s="3">
        <v>51</v>
      </c>
      <c r="H66" s="3">
        <v>43</v>
      </c>
      <c r="I66" s="3">
        <v>271</v>
      </c>
      <c r="J66" s="3">
        <v>500</v>
      </c>
      <c r="K66" s="7">
        <f t="shared" si="0"/>
        <v>0.54200000000000004</v>
      </c>
      <c r="L66" s="4">
        <f t="shared" si="1"/>
        <v>0.45799999999999996</v>
      </c>
    </row>
    <row r="67" spans="1:12" x14ac:dyDescent="0.3">
      <c r="A67" s="3" t="s">
        <v>291</v>
      </c>
      <c r="B67" s="3" t="s">
        <v>292</v>
      </c>
      <c r="C67" s="3" t="s">
        <v>158</v>
      </c>
      <c r="D67" s="3">
        <v>54</v>
      </c>
      <c r="E67" s="3">
        <v>62</v>
      </c>
      <c r="F67" s="3">
        <v>47</v>
      </c>
      <c r="G67" s="3">
        <v>59</v>
      </c>
      <c r="H67" s="3">
        <v>70</v>
      </c>
      <c r="I67" s="3">
        <v>292</v>
      </c>
      <c r="J67" s="3">
        <v>500</v>
      </c>
      <c r="K67" s="7">
        <f t="shared" ref="K67:K130" si="2">I67/J67</f>
        <v>0.58399999999999996</v>
      </c>
      <c r="L67" s="4">
        <f t="shared" ref="L67:L130" si="3">100%-K67</f>
        <v>0.41600000000000004</v>
      </c>
    </row>
    <row r="68" spans="1:12" x14ac:dyDescent="0.3">
      <c r="A68" s="3" t="s">
        <v>293</v>
      </c>
      <c r="B68" s="3" t="s">
        <v>294</v>
      </c>
      <c r="C68" s="3" t="s">
        <v>161</v>
      </c>
      <c r="D68" s="3">
        <v>61</v>
      </c>
      <c r="E68" s="3">
        <v>48</v>
      </c>
      <c r="F68" s="3">
        <v>73</v>
      </c>
      <c r="G68" s="3">
        <v>42</v>
      </c>
      <c r="H68" s="3">
        <v>56</v>
      </c>
      <c r="I68" s="3">
        <v>280</v>
      </c>
      <c r="J68" s="3">
        <v>500</v>
      </c>
      <c r="K68" s="7">
        <f t="shared" si="2"/>
        <v>0.56000000000000005</v>
      </c>
      <c r="L68" s="4">
        <f t="shared" si="3"/>
        <v>0.43999999999999995</v>
      </c>
    </row>
    <row r="69" spans="1:12" x14ac:dyDescent="0.3">
      <c r="A69" s="3" t="s">
        <v>295</v>
      </c>
      <c r="B69" s="3" t="s">
        <v>296</v>
      </c>
      <c r="C69" s="3" t="s">
        <v>164</v>
      </c>
      <c r="D69" s="3">
        <v>45</v>
      </c>
      <c r="E69" s="3">
        <v>67</v>
      </c>
      <c r="F69" s="3">
        <v>52</v>
      </c>
      <c r="G69" s="3">
        <v>60</v>
      </c>
      <c r="H69" s="3">
        <v>41</v>
      </c>
      <c r="I69" s="3">
        <v>265</v>
      </c>
      <c r="J69" s="3">
        <v>500</v>
      </c>
      <c r="K69" s="7">
        <f t="shared" si="2"/>
        <v>0.53</v>
      </c>
      <c r="L69" s="4">
        <f t="shared" si="3"/>
        <v>0.47</v>
      </c>
    </row>
    <row r="70" spans="1:12" x14ac:dyDescent="0.3">
      <c r="A70" s="3" t="s">
        <v>297</v>
      </c>
      <c r="B70" s="3" t="s">
        <v>298</v>
      </c>
      <c r="C70" s="3" t="s">
        <v>167</v>
      </c>
      <c r="D70" s="3">
        <v>58</v>
      </c>
      <c r="E70" s="3">
        <v>49</v>
      </c>
      <c r="F70" s="3">
        <v>64</v>
      </c>
      <c r="G70" s="3">
        <v>75</v>
      </c>
      <c r="H70" s="3">
        <v>38</v>
      </c>
      <c r="I70" s="3">
        <v>284</v>
      </c>
      <c r="J70" s="3">
        <v>500</v>
      </c>
      <c r="K70" s="7">
        <f t="shared" si="2"/>
        <v>0.56799999999999995</v>
      </c>
      <c r="L70" s="4">
        <f t="shared" si="3"/>
        <v>0.43200000000000005</v>
      </c>
    </row>
    <row r="71" spans="1:12" x14ac:dyDescent="0.3">
      <c r="A71" s="3" t="s">
        <v>299</v>
      </c>
      <c r="B71" s="3" t="s">
        <v>300</v>
      </c>
      <c r="C71" s="3" t="s">
        <v>170</v>
      </c>
      <c r="D71" s="3">
        <v>63</v>
      </c>
      <c r="E71" s="3">
        <v>55</v>
      </c>
      <c r="F71" s="3">
        <v>46</v>
      </c>
      <c r="G71" s="3">
        <v>68</v>
      </c>
      <c r="H71" s="3">
        <v>52</v>
      </c>
      <c r="I71" s="3">
        <v>284</v>
      </c>
      <c r="J71" s="3">
        <v>500</v>
      </c>
      <c r="K71" s="7">
        <f t="shared" si="2"/>
        <v>0.56799999999999995</v>
      </c>
      <c r="L71" s="4">
        <f t="shared" si="3"/>
        <v>0.43200000000000005</v>
      </c>
    </row>
    <row r="72" spans="1:12" x14ac:dyDescent="0.3">
      <c r="A72" s="3" t="s">
        <v>301</v>
      </c>
      <c r="B72" s="3" t="s">
        <v>302</v>
      </c>
      <c r="C72" s="3" t="s">
        <v>173</v>
      </c>
      <c r="D72" s="3">
        <v>50</v>
      </c>
      <c r="E72" s="3">
        <v>72</v>
      </c>
      <c r="F72" s="3">
        <v>39</v>
      </c>
      <c r="G72" s="3">
        <v>57</v>
      </c>
      <c r="H72" s="3">
        <v>61</v>
      </c>
      <c r="I72" s="3">
        <v>279</v>
      </c>
      <c r="J72" s="3">
        <v>500</v>
      </c>
      <c r="K72" s="7">
        <f t="shared" si="2"/>
        <v>0.55800000000000005</v>
      </c>
      <c r="L72" s="4">
        <f t="shared" si="3"/>
        <v>0.44199999999999995</v>
      </c>
    </row>
    <row r="73" spans="1:12" x14ac:dyDescent="0.3">
      <c r="A73" s="3" t="s">
        <v>303</v>
      </c>
      <c r="B73" s="3" t="s">
        <v>304</v>
      </c>
      <c r="C73" s="3" t="s">
        <v>176</v>
      </c>
      <c r="D73" s="3">
        <v>67</v>
      </c>
      <c r="E73" s="3">
        <v>44</v>
      </c>
      <c r="F73" s="3">
        <v>71</v>
      </c>
      <c r="G73" s="3">
        <v>53</v>
      </c>
      <c r="H73" s="3">
        <v>48</v>
      </c>
      <c r="I73" s="3">
        <v>283</v>
      </c>
      <c r="J73" s="3">
        <v>500</v>
      </c>
      <c r="K73" s="7">
        <f t="shared" si="2"/>
        <v>0.56599999999999995</v>
      </c>
      <c r="L73" s="4">
        <f t="shared" si="3"/>
        <v>0.43400000000000005</v>
      </c>
    </row>
    <row r="74" spans="1:12" x14ac:dyDescent="0.3">
      <c r="A74" s="3" t="s">
        <v>305</v>
      </c>
      <c r="B74" s="3" t="s">
        <v>306</v>
      </c>
      <c r="C74" s="3" t="s">
        <v>155</v>
      </c>
      <c r="D74" s="3">
        <v>53</v>
      </c>
      <c r="E74" s="3">
        <v>61</v>
      </c>
      <c r="F74" s="3">
        <v>45</v>
      </c>
      <c r="G74" s="3">
        <v>74</v>
      </c>
      <c r="H74" s="3">
        <v>42</v>
      </c>
      <c r="I74" s="3">
        <v>275</v>
      </c>
      <c r="J74" s="3">
        <v>500</v>
      </c>
      <c r="K74" s="7">
        <f t="shared" si="2"/>
        <v>0.55000000000000004</v>
      </c>
      <c r="L74" s="4">
        <f t="shared" si="3"/>
        <v>0.44999999999999996</v>
      </c>
    </row>
    <row r="75" spans="1:12" x14ac:dyDescent="0.3">
      <c r="A75" s="3" t="s">
        <v>307</v>
      </c>
      <c r="B75" s="3" t="s">
        <v>308</v>
      </c>
      <c r="C75" s="3" t="s">
        <v>158</v>
      </c>
      <c r="D75" s="3">
        <v>59</v>
      </c>
      <c r="E75" s="3">
        <v>48</v>
      </c>
      <c r="F75" s="3">
        <v>66</v>
      </c>
      <c r="G75" s="3">
        <v>41</v>
      </c>
      <c r="H75" s="3">
        <v>73</v>
      </c>
      <c r="I75" s="3">
        <v>287</v>
      </c>
      <c r="J75" s="3">
        <v>500</v>
      </c>
      <c r="K75" s="7">
        <f t="shared" si="2"/>
        <v>0.57399999999999995</v>
      </c>
      <c r="L75" s="4">
        <f t="shared" si="3"/>
        <v>0.42600000000000005</v>
      </c>
    </row>
    <row r="76" spans="1:12" x14ac:dyDescent="0.3">
      <c r="A76" s="3" t="s">
        <v>309</v>
      </c>
      <c r="B76" s="3" t="s">
        <v>310</v>
      </c>
      <c r="C76" s="3" t="s">
        <v>161</v>
      </c>
      <c r="D76" s="3">
        <v>62</v>
      </c>
      <c r="E76" s="3">
        <v>54</v>
      </c>
      <c r="F76" s="3">
        <v>47</v>
      </c>
      <c r="G76" s="3">
        <v>69</v>
      </c>
      <c r="H76" s="3">
        <v>55</v>
      </c>
      <c r="I76" s="3">
        <v>287</v>
      </c>
      <c r="J76" s="3">
        <v>500</v>
      </c>
      <c r="K76" s="7">
        <f t="shared" si="2"/>
        <v>0.57399999999999995</v>
      </c>
      <c r="L76" s="4">
        <f t="shared" si="3"/>
        <v>0.42600000000000005</v>
      </c>
    </row>
    <row r="77" spans="1:12" x14ac:dyDescent="0.3">
      <c r="A77" s="3" t="s">
        <v>311</v>
      </c>
      <c r="B77" s="3" t="s">
        <v>312</v>
      </c>
      <c r="C77" s="3" t="s">
        <v>164</v>
      </c>
      <c r="D77" s="3">
        <v>46</v>
      </c>
      <c r="E77" s="3">
        <v>73</v>
      </c>
      <c r="F77" s="3">
        <v>52</v>
      </c>
      <c r="G77" s="3">
        <v>60</v>
      </c>
      <c r="H77" s="3">
        <v>44</v>
      </c>
      <c r="I77" s="3">
        <v>275</v>
      </c>
      <c r="J77" s="3">
        <v>500</v>
      </c>
      <c r="K77" s="7">
        <f t="shared" si="2"/>
        <v>0.55000000000000004</v>
      </c>
      <c r="L77" s="4">
        <f t="shared" si="3"/>
        <v>0.44999999999999996</v>
      </c>
    </row>
    <row r="78" spans="1:12" x14ac:dyDescent="0.3">
      <c r="A78" s="3" t="s">
        <v>313</v>
      </c>
      <c r="B78" s="3" t="s">
        <v>314</v>
      </c>
      <c r="C78" s="3" t="s">
        <v>167</v>
      </c>
      <c r="D78" s="3">
        <v>71</v>
      </c>
      <c r="E78" s="3">
        <v>39</v>
      </c>
      <c r="F78" s="3">
        <v>64</v>
      </c>
      <c r="G78" s="3">
        <v>48</v>
      </c>
      <c r="H78" s="3">
        <v>58</v>
      </c>
      <c r="I78" s="3">
        <v>280</v>
      </c>
      <c r="J78" s="3">
        <v>500</v>
      </c>
      <c r="K78" s="7">
        <f t="shared" si="2"/>
        <v>0.56000000000000005</v>
      </c>
      <c r="L78" s="4">
        <f t="shared" si="3"/>
        <v>0.43999999999999995</v>
      </c>
    </row>
    <row r="79" spans="1:12" x14ac:dyDescent="0.3">
      <c r="A79" s="3" t="s">
        <v>315</v>
      </c>
      <c r="B79" s="3" t="s">
        <v>316</v>
      </c>
      <c r="C79" s="3" t="s">
        <v>170</v>
      </c>
      <c r="D79" s="3">
        <v>55</v>
      </c>
      <c r="E79" s="3">
        <v>68</v>
      </c>
      <c r="F79" s="3">
        <v>43</v>
      </c>
      <c r="G79" s="3">
        <v>61</v>
      </c>
      <c r="H79" s="3">
        <v>47</v>
      </c>
      <c r="I79" s="3">
        <v>274</v>
      </c>
      <c r="J79" s="3">
        <v>500</v>
      </c>
      <c r="K79" s="7">
        <f t="shared" si="2"/>
        <v>0.54800000000000004</v>
      </c>
      <c r="L79" s="4">
        <f t="shared" si="3"/>
        <v>0.45199999999999996</v>
      </c>
    </row>
    <row r="80" spans="1:12" x14ac:dyDescent="0.3">
      <c r="A80" s="3" t="s">
        <v>317</v>
      </c>
      <c r="B80" s="3" t="s">
        <v>318</v>
      </c>
      <c r="C80" s="3" t="s">
        <v>173</v>
      </c>
      <c r="D80" s="3">
        <v>60</v>
      </c>
      <c r="E80" s="3">
        <v>45</v>
      </c>
      <c r="F80" s="3">
        <v>72</v>
      </c>
      <c r="G80" s="3">
        <v>54</v>
      </c>
      <c r="H80" s="3">
        <v>49</v>
      </c>
      <c r="I80" s="3">
        <v>280</v>
      </c>
      <c r="J80" s="3">
        <v>500</v>
      </c>
      <c r="K80" s="7">
        <f t="shared" si="2"/>
        <v>0.56000000000000005</v>
      </c>
      <c r="L80" s="4">
        <f t="shared" si="3"/>
        <v>0.43999999999999995</v>
      </c>
    </row>
    <row r="81" spans="1:12" x14ac:dyDescent="0.3">
      <c r="A81" s="3" t="s">
        <v>319</v>
      </c>
      <c r="B81" s="3" t="s">
        <v>320</v>
      </c>
      <c r="C81" s="3" t="s">
        <v>176</v>
      </c>
      <c r="D81" s="3">
        <v>48</v>
      </c>
      <c r="E81" s="3">
        <v>63</v>
      </c>
      <c r="F81" s="3">
        <v>57</v>
      </c>
      <c r="G81" s="3">
        <v>42</v>
      </c>
      <c r="H81" s="3">
        <v>75</v>
      </c>
      <c r="I81" s="3">
        <v>285</v>
      </c>
      <c r="J81" s="3">
        <v>500</v>
      </c>
      <c r="K81" s="7">
        <f t="shared" si="2"/>
        <v>0.56999999999999995</v>
      </c>
      <c r="L81" s="4">
        <f t="shared" si="3"/>
        <v>0.43000000000000005</v>
      </c>
    </row>
    <row r="82" spans="1:12" x14ac:dyDescent="0.3">
      <c r="A82" s="3" t="s">
        <v>321</v>
      </c>
      <c r="B82" s="3" t="s">
        <v>322</v>
      </c>
      <c r="C82" s="3" t="s">
        <v>155</v>
      </c>
      <c r="D82" s="3">
        <v>66</v>
      </c>
      <c r="E82" s="3">
        <v>52</v>
      </c>
      <c r="F82" s="3">
        <v>44</v>
      </c>
      <c r="G82" s="3">
        <v>70</v>
      </c>
      <c r="H82" s="3">
        <v>41</v>
      </c>
      <c r="I82" s="3">
        <v>273</v>
      </c>
      <c r="J82" s="3">
        <v>500</v>
      </c>
      <c r="K82" s="7">
        <f t="shared" si="2"/>
        <v>0.54600000000000004</v>
      </c>
      <c r="L82" s="4">
        <f t="shared" si="3"/>
        <v>0.45399999999999996</v>
      </c>
    </row>
    <row r="83" spans="1:12" x14ac:dyDescent="0.3">
      <c r="A83" s="3" t="s">
        <v>323</v>
      </c>
      <c r="B83" s="3" t="s">
        <v>324</v>
      </c>
      <c r="C83" s="3" t="s">
        <v>158</v>
      </c>
      <c r="D83" s="3">
        <v>53</v>
      </c>
      <c r="E83" s="3">
        <v>74</v>
      </c>
      <c r="F83" s="3">
        <v>39</v>
      </c>
      <c r="G83" s="3">
        <v>58</v>
      </c>
      <c r="H83" s="3">
        <v>62</v>
      </c>
      <c r="I83" s="3">
        <v>286</v>
      </c>
      <c r="J83" s="3">
        <v>500</v>
      </c>
      <c r="K83" s="7">
        <f t="shared" si="2"/>
        <v>0.57199999999999995</v>
      </c>
      <c r="L83" s="4">
        <f t="shared" si="3"/>
        <v>0.42800000000000005</v>
      </c>
    </row>
    <row r="84" spans="1:12" x14ac:dyDescent="0.3">
      <c r="A84" s="3" t="s">
        <v>325</v>
      </c>
      <c r="B84" s="3" t="s">
        <v>326</v>
      </c>
      <c r="C84" s="3" t="s">
        <v>161</v>
      </c>
      <c r="D84" s="3">
        <v>61</v>
      </c>
      <c r="E84" s="3">
        <v>47</v>
      </c>
      <c r="F84" s="3">
        <v>68</v>
      </c>
      <c r="G84" s="3">
        <v>55</v>
      </c>
      <c r="H84" s="3">
        <v>43</v>
      </c>
      <c r="I84" s="3">
        <v>274</v>
      </c>
      <c r="J84" s="3">
        <v>500</v>
      </c>
      <c r="K84" s="7">
        <f t="shared" si="2"/>
        <v>0.54800000000000004</v>
      </c>
      <c r="L84" s="4">
        <f t="shared" si="3"/>
        <v>0.45199999999999996</v>
      </c>
    </row>
    <row r="85" spans="1:12" x14ac:dyDescent="0.3">
      <c r="A85" s="3" t="s">
        <v>327</v>
      </c>
      <c r="B85" s="3" t="s">
        <v>328</v>
      </c>
      <c r="C85" s="3" t="s">
        <v>164</v>
      </c>
      <c r="D85" s="3">
        <v>49</v>
      </c>
      <c r="E85" s="3">
        <v>66</v>
      </c>
      <c r="F85" s="3">
        <v>52</v>
      </c>
      <c r="G85" s="3">
        <v>73</v>
      </c>
      <c r="H85" s="3">
        <v>40</v>
      </c>
      <c r="I85" s="3">
        <v>280</v>
      </c>
      <c r="J85" s="3">
        <v>500</v>
      </c>
      <c r="K85" s="7">
        <f t="shared" si="2"/>
        <v>0.56000000000000005</v>
      </c>
      <c r="L85" s="4">
        <f t="shared" si="3"/>
        <v>0.43999999999999995</v>
      </c>
    </row>
    <row r="86" spans="1:12" x14ac:dyDescent="0.3">
      <c r="A86" s="3" t="s">
        <v>329</v>
      </c>
      <c r="B86" s="3" t="s">
        <v>330</v>
      </c>
      <c r="C86" s="3" t="s">
        <v>167</v>
      </c>
      <c r="D86" s="3">
        <v>72</v>
      </c>
      <c r="E86" s="3">
        <v>44</v>
      </c>
      <c r="F86" s="3">
        <v>63</v>
      </c>
      <c r="G86" s="3">
        <v>51</v>
      </c>
      <c r="H86" s="3">
        <v>59</v>
      </c>
      <c r="I86" s="3">
        <v>289</v>
      </c>
      <c r="J86" s="3">
        <v>500</v>
      </c>
      <c r="K86" s="7">
        <f t="shared" si="2"/>
        <v>0.57799999999999996</v>
      </c>
      <c r="L86" s="4">
        <f t="shared" si="3"/>
        <v>0.42200000000000004</v>
      </c>
    </row>
    <row r="87" spans="1:12" x14ac:dyDescent="0.3">
      <c r="A87" s="3" t="s">
        <v>331</v>
      </c>
      <c r="B87" s="3" t="s">
        <v>332</v>
      </c>
      <c r="C87" s="3" t="s">
        <v>170</v>
      </c>
      <c r="D87" s="3">
        <v>58</v>
      </c>
      <c r="E87" s="3">
        <v>61</v>
      </c>
      <c r="F87" s="3">
        <v>45</v>
      </c>
      <c r="G87" s="3">
        <v>69</v>
      </c>
      <c r="H87" s="3">
        <v>54</v>
      </c>
      <c r="I87" s="3">
        <v>287</v>
      </c>
      <c r="J87" s="3">
        <v>500</v>
      </c>
      <c r="K87" s="7">
        <f t="shared" si="2"/>
        <v>0.57399999999999995</v>
      </c>
      <c r="L87" s="4">
        <f t="shared" si="3"/>
        <v>0.42600000000000005</v>
      </c>
    </row>
    <row r="88" spans="1:12" x14ac:dyDescent="0.3">
      <c r="A88" s="3" t="s">
        <v>333</v>
      </c>
      <c r="B88" s="3" t="s">
        <v>334</v>
      </c>
      <c r="C88" s="3" t="s">
        <v>173</v>
      </c>
      <c r="D88" s="3">
        <v>45</v>
      </c>
      <c r="E88" s="3">
        <v>70</v>
      </c>
      <c r="F88" s="3">
        <v>53</v>
      </c>
      <c r="G88" s="3">
        <v>41</v>
      </c>
      <c r="H88" s="3">
        <v>67</v>
      </c>
      <c r="I88" s="3">
        <v>276</v>
      </c>
      <c r="J88" s="3">
        <v>500</v>
      </c>
      <c r="K88" s="7">
        <f t="shared" si="2"/>
        <v>0.55200000000000005</v>
      </c>
      <c r="L88" s="4">
        <f t="shared" si="3"/>
        <v>0.44799999999999995</v>
      </c>
    </row>
    <row r="89" spans="1:12" x14ac:dyDescent="0.3">
      <c r="A89" s="3" t="s">
        <v>335</v>
      </c>
      <c r="B89" s="3" t="s">
        <v>336</v>
      </c>
      <c r="C89" s="3" t="s">
        <v>176</v>
      </c>
      <c r="D89" s="3">
        <v>63</v>
      </c>
      <c r="E89" s="3">
        <v>48</v>
      </c>
      <c r="F89" s="3">
        <v>74</v>
      </c>
      <c r="G89" s="3">
        <v>52</v>
      </c>
      <c r="H89" s="3">
        <v>46</v>
      </c>
      <c r="I89" s="3">
        <v>283</v>
      </c>
      <c r="J89" s="3">
        <v>500</v>
      </c>
      <c r="K89" s="7">
        <f t="shared" si="2"/>
        <v>0.56599999999999995</v>
      </c>
      <c r="L89" s="4">
        <f t="shared" si="3"/>
        <v>0.43400000000000005</v>
      </c>
    </row>
    <row r="90" spans="1:12" x14ac:dyDescent="0.3">
      <c r="A90" s="3" t="s">
        <v>337</v>
      </c>
      <c r="B90" s="3" t="s">
        <v>338</v>
      </c>
      <c r="C90" s="3" t="s">
        <v>155</v>
      </c>
      <c r="D90" s="3">
        <v>54</v>
      </c>
      <c r="E90" s="3">
        <v>67</v>
      </c>
      <c r="F90" s="3">
        <v>42</v>
      </c>
      <c r="G90" s="3">
        <v>60</v>
      </c>
      <c r="H90" s="3">
        <v>71</v>
      </c>
      <c r="I90" s="3">
        <v>294</v>
      </c>
      <c r="J90" s="3">
        <v>500</v>
      </c>
      <c r="K90" s="7">
        <f t="shared" si="2"/>
        <v>0.58799999999999997</v>
      </c>
      <c r="L90" s="4">
        <f t="shared" si="3"/>
        <v>0.41200000000000003</v>
      </c>
    </row>
    <row r="91" spans="1:12" x14ac:dyDescent="0.3">
      <c r="A91" s="3" t="s">
        <v>339</v>
      </c>
      <c r="B91" s="3" t="s">
        <v>340</v>
      </c>
      <c r="C91" s="3" t="s">
        <v>158</v>
      </c>
      <c r="D91" s="3">
        <v>69</v>
      </c>
      <c r="E91" s="3">
        <v>51</v>
      </c>
      <c r="F91" s="3">
        <v>47</v>
      </c>
      <c r="G91" s="3">
        <v>63</v>
      </c>
      <c r="H91" s="3">
        <v>55</v>
      </c>
      <c r="I91" s="3">
        <v>285</v>
      </c>
      <c r="J91" s="3">
        <v>500</v>
      </c>
      <c r="K91" s="7">
        <f t="shared" si="2"/>
        <v>0.56999999999999995</v>
      </c>
      <c r="L91" s="4">
        <f t="shared" si="3"/>
        <v>0.43000000000000005</v>
      </c>
    </row>
    <row r="92" spans="1:12" x14ac:dyDescent="0.3">
      <c r="A92" s="3" t="s">
        <v>341</v>
      </c>
      <c r="B92" s="3" t="s">
        <v>342</v>
      </c>
      <c r="C92" s="3" t="s">
        <v>161</v>
      </c>
      <c r="D92" s="3">
        <v>52</v>
      </c>
      <c r="E92" s="3">
        <v>64</v>
      </c>
      <c r="F92" s="3">
        <v>39</v>
      </c>
      <c r="G92" s="3">
        <v>75</v>
      </c>
      <c r="H92" s="3">
        <v>48</v>
      </c>
      <c r="I92" s="3">
        <v>278</v>
      </c>
      <c r="J92" s="3">
        <v>500</v>
      </c>
      <c r="K92" s="7">
        <f t="shared" si="2"/>
        <v>0.55600000000000005</v>
      </c>
      <c r="L92" s="4">
        <f t="shared" si="3"/>
        <v>0.44399999999999995</v>
      </c>
    </row>
    <row r="93" spans="1:12" x14ac:dyDescent="0.3">
      <c r="A93" s="3" t="s">
        <v>343</v>
      </c>
      <c r="B93" s="3" t="s">
        <v>344</v>
      </c>
      <c r="C93" s="3" t="s">
        <v>164</v>
      </c>
      <c r="D93" s="3">
        <v>60</v>
      </c>
      <c r="E93" s="3">
        <v>43</v>
      </c>
      <c r="F93" s="3">
        <v>72</v>
      </c>
      <c r="G93" s="3">
        <v>54</v>
      </c>
      <c r="H93" s="3">
        <v>49</v>
      </c>
      <c r="I93" s="3">
        <v>278</v>
      </c>
      <c r="J93" s="3">
        <v>500</v>
      </c>
      <c r="K93" s="7">
        <f t="shared" si="2"/>
        <v>0.55600000000000005</v>
      </c>
      <c r="L93" s="4">
        <f t="shared" si="3"/>
        <v>0.44399999999999995</v>
      </c>
    </row>
    <row r="94" spans="1:12" x14ac:dyDescent="0.3">
      <c r="A94" s="3" t="s">
        <v>345</v>
      </c>
      <c r="B94" s="3" t="s">
        <v>346</v>
      </c>
      <c r="C94" s="3" t="s">
        <v>167</v>
      </c>
      <c r="D94" s="3">
        <v>47</v>
      </c>
      <c r="E94" s="3">
        <v>68</v>
      </c>
      <c r="F94" s="3">
        <v>55</v>
      </c>
      <c r="G94" s="3">
        <v>41</v>
      </c>
      <c r="H94" s="3">
        <v>63</v>
      </c>
      <c r="I94" s="3">
        <v>274</v>
      </c>
      <c r="J94" s="3">
        <v>500</v>
      </c>
      <c r="K94" s="7">
        <f t="shared" si="2"/>
        <v>0.54800000000000004</v>
      </c>
      <c r="L94" s="4">
        <f t="shared" si="3"/>
        <v>0.45199999999999996</v>
      </c>
    </row>
    <row r="95" spans="1:12" x14ac:dyDescent="0.3">
      <c r="A95" s="3" t="s">
        <v>347</v>
      </c>
      <c r="B95" s="3" t="s">
        <v>348</v>
      </c>
      <c r="C95" s="3" t="s">
        <v>170</v>
      </c>
      <c r="D95" s="3">
        <v>71</v>
      </c>
      <c r="E95" s="3">
        <v>49</v>
      </c>
      <c r="F95" s="3">
        <v>64</v>
      </c>
      <c r="G95" s="3">
        <v>58</v>
      </c>
      <c r="H95" s="3">
        <v>42</v>
      </c>
      <c r="I95" s="3">
        <v>284</v>
      </c>
      <c r="J95" s="3">
        <v>500</v>
      </c>
      <c r="K95" s="7">
        <f t="shared" si="2"/>
        <v>0.56799999999999995</v>
      </c>
      <c r="L95" s="4">
        <f t="shared" si="3"/>
        <v>0.43200000000000005</v>
      </c>
    </row>
    <row r="96" spans="1:12" x14ac:dyDescent="0.3">
      <c r="A96" s="3" t="s">
        <v>349</v>
      </c>
      <c r="B96" s="3" t="s">
        <v>350</v>
      </c>
      <c r="C96" s="3" t="s">
        <v>173</v>
      </c>
      <c r="D96" s="3">
        <v>56</v>
      </c>
      <c r="E96" s="3">
        <v>62</v>
      </c>
      <c r="F96" s="3">
        <v>48</v>
      </c>
      <c r="G96" s="3">
        <v>73</v>
      </c>
      <c r="H96" s="3">
        <v>39</v>
      </c>
      <c r="I96" s="3">
        <v>278</v>
      </c>
      <c r="J96" s="3">
        <v>500</v>
      </c>
      <c r="K96" s="7">
        <f t="shared" si="2"/>
        <v>0.55600000000000005</v>
      </c>
      <c r="L96" s="4">
        <f t="shared" si="3"/>
        <v>0.44399999999999995</v>
      </c>
    </row>
    <row r="97" spans="1:12" x14ac:dyDescent="0.3">
      <c r="A97" s="3" t="s">
        <v>351</v>
      </c>
      <c r="B97" s="3" t="s">
        <v>352</v>
      </c>
      <c r="C97" s="3" t="s">
        <v>176</v>
      </c>
      <c r="D97" s="3">
        <v>63</v>
      </c>
      <c r="E97" s="3">
        <v>45</v>
      </c>
      <c r="F97" s="3">
        <v>69</v>
      </c>
      <c r="G97" s="3">
        <v>52</v>
      </c>
      <c r="H97" s="3">
        <v>57</v>
      </c>
      <c r="I97" s="3">
        <v>286</v>
      </c>
      <c r="J97" s="3">
        <v>500</v>
      </c>
      <c r="K97" s="7">
        <f t="shared" si="2"/>
        <v>0.57199999999999995</v>
      </c>
      <c r="L97" s="4">
        <f t="shared" si="3"/>
        <v>0.42800000000000005</v>
      </c>
    </row>
    <row r="98" spans="1:12" x14ac:dyDescent="0.3">
      <c r="A98" s="3" t="s">
        <v>353</v>
      </c>
      <c r="B98" s="3" t="s">
        <v>354</v>
      </c>
      <c r="C98" s="3" t="s">
        <v>155</v>
      </c>
      <c r="D98" s="3">
        <v>50</v>
      </c>
      <c r="E98" s="3">
        <v>74</v>
      </c>
      <c r="F98" s="3">
        <v>41</v>
      </c>
      <c r="G98" s="3">
        <v>60</v>
      </c>
      <c r="H98" s="3">
        <v>53</v>
      </c>
      <c r="I98" s="3">
        <v>278</v>
      </c>
      <c r="J98" s="3">
        <v>500</v>
      </c>
      <c r="K98" s="7">
        <f t="shared" si="2"/>
        <v>0.55600000000000005</v>
      </c>
      <c r="L98" s="4">
        <f t="shared" si="3"/>
        <v>0.44399999999999995</v>
      </c>
    </row>
    <row r="99" spans="1:12" x14ac:dyDescent="0.3">
      <c r="A99" s="3" t="s">
        <v>355</v>
      </c>
      <c r="B99" s="3" t="s">
        <v>356</v>
      </c>
      <c r="C99" s="3" t="s">
        <v>158</v>
      </c>
      <c r="D99" s="3">
        <v>68</v>
      </c>
      <c r="E99" s="3">
        <v>52</v>
      </c>
      <c r="F99" s="3">
        <v>44</v>
      </c>
      <c r="G99" s="3">
        <v>71</v>
      </c>
      <c r="H99" s="3">
        <v>46</v>
      </c>
      <c r="I99" s="3">
        <v>281</v>
      </c>
      <c r="J99" s="3">
        <v>500</v>
      </c>
      <c r="K99" s="7">
        <f t="shared" si="2"/>
        <v>0.56200000000000006</v>
      </c>
      <c r="L99" s="4">
        <f t="shared" si="3"/>
        <v>0.43799999999999994</v>
      </c>
    </row>
    <row r="100" spans="1:12" x14ac:dyDescent="0.3">
      <c r="A100" s="3" t="s">
        <v>357</v>
      </c>
      <c r="B100" s="3" t="s">
        <v>358</v>
      </c>
      <c r="C100" s="3" t="s">
        <v>161</v>
      </c>
      <c r="D100" s="3">
        <v>55</v>
      </c>
      <c r="E100" s="3">
        <v>63</v>
      </c>
      <c r="F100" s="3">
        <v>47</v>
      </c>
      <c r="G100" s="3">
        <v>58</v>
      </c>
      <c r="H100" s="3">
        <v>72</v>
      </c>
      <c r="I100" s="3">
        <v>295</v>
      </c>
      <c r="J100" s="3">
        <v>500</v>
      </c>
      <c r="K100" s="7">
        <f t="shared" si="2"/>
        <v>0.59</v>
      </c>
      <c r="L100" s="4">
        <f t="shared" si="3"/>
        <v>0.41000000000000003</v>
      </c>
    </row>
    <row r="101" spans="1:12" x14ac:dyDescent="0.3">
      <c r="A101" s="3" t="s">
        <v>359</v>
      </c>
      <c r="B101" s="3" t="s">
        <v>360</v>
      </c>
      <c r="C101" s="3" t="s">
        <v>164</v>
      </c>
      <c r="D101" s="3">
        <v>61</v>
      </c>
      <c r="E101" s="3">
        <v>48</v>
      </c>
      <c r="F101" s="3">
        <v>75</v>
      </c>
      <c r="G101" s="3">
        <v>42</v>
      </c>
      <c r="H101" s="3">
        <v>59</v>
      </c>
      <c r="I101" s="3">
        <v>285</v>
      </c>
      <c r="J101" s="3">
        <v>500</v>
      </c>
      <c r="K101" s="7">
        <f t="shared" si="2"/>
        <v>0.56999999999999995</v>
      </c>
      <c r="L101" s="4">
        <f t="shared" si="3"/>
        <v>0.43000000000000005</v>
      </c>
    </row>
    <row r="102" spans="1:12" x14ac:dyDescent="0.3">
      <c r="A102" s="3" t="s">
        <v>361</v>
      </c>
      <c r="B102" s="3" t="s">
        <v>362</v>
      </c>
      <c r="C102" s="3" t="s">
        <v>167</v>
      </c>
      <c r="D102" s="3">
        <v>46</v>
      </c>
      <c r="E102" s="3">
        <v>69</v>
      </c>
      <c r="F102" s="3">
        <v>52</v>
      </c>
      <c r="G102" s="3">
        <v>64</v>
      </c>
      <c r="H102" s="3">
        <v>41</v>
      </c>
      <c r="I102" s="3">
        <v>272</v>
      </c>
      <c r="J102" s="3">
        <v>500</v>
      </c>
      <c r="K102" s="7">
        <f t="shared" si="2"/>
        <v>0.54400000000000004</v>
      </c>
      <c r="L102" s="4">
        <f t="shared" si="3"/>
        <v>0.45599999999999996</v>
      </c>
    </row>
    <row r="103" spans="1:12" x14ac:dyDescent="0.3">
      <c r="A103" s="3" t="s">
        <v>363</v>
      </c>
      <c r="B103" s="3" t="s">
        <v>364</v>
      </c>
      <c r="C103" s="3" t="s">
        <v>170</v>
      </c>
      <c r="D103" s="3">
        <v>73</v>
      </c>
      <c r="E103" s="3">
        <v>44</v>
      </c>
      <c r="F103" s="3">
        <v>60</v>
      </c>
      <c r="G103" s="3">
        <v>53</v>
      </c>
      <c r="H103" s="3">
        <v>48</v>
      </c>
      <c r="I103" s="3">
        <v>278</v>
      </c>
      <c r="J103" s="3">
        <v>500</v>
      </c>
      <c r="K103" s="7">
        <f t="shared" si="2"/>
        <v>0.55600000000000005</v>
      </c>
      <c r="L103" s="4">
        <f t="shared" si="3"/>
        <v>0.44399999999999995</v>
      </c>
    </row>
    <row r="104" spans="1:12" x14ac:dyDescent="0.3">
      <c r="A104" s="3" t="s">
        <v>365</v>
      </c>
      <c r="B104" s="3" t="s">
        <v>366</v>
      </c>
      <c r="C104" s="3" t="s">
        <v>173</v>
      </c>
      <c r="D104" s="3">
        <v>58</v>
      </c>
      <c r="E104" s="3">
        <v>67</v>
      </c>
      <c r="F104" s="3">
        <v>39</v>
      </c>
      <c r="G104" s="3">
        <v>71</v>
      </c>
      <c r="H104" s="3">
        <v>45</v>
      </c>
      <c r="I104" s="3">
        <v>280</v>
      </c>
      <c r="J104" s="3">
        <v>500</v>
      </c>
      <c r="K104" s="7">
        <f t="shared" si="2"/>
        <v>0.56000000000000005</v>
      </c>
      <c r="L104" s="4">
        <f t="shared" si="3"/>
        <v>0.43999999999999995</v>
      </c>
    </row>
    <row r="105" spans="1:12" x14ac:dyDescent="0.3">
      <c r="A105" s="3" t="s">
        <v>367</v>
      </c>
      <c r="B105" s="3" t="s">
        <v>368</v>
      </c>
      <c r="C105" s="3" t="s">
        <v>176</v>
      </c>
      <c r="D105" s="3">
        <v>64</v>
      </c>
      <c r="E105" s="3">
        <v>52</v>
      </c>
      <c r="F105" s="3">
        <v>48</v>
      </c>
      <c r="G105" s="3">
        <v>63</v>
      </c>
      <c r="H105" s="3">
        <v>70</v>
      </c>
      <c r="I105" s="3">
        <v>297</v>
      </c>
      <c r="J105" s="3">
        <v>500</v>
      </c>
      <c r="K105" s="7">
        <f t="shared" si="2"/>
        <v>0.59399999999999997</v>
      </c>
      <c r="L105" s="4">
        <f t="shared" si="3"/>
        <v>0.40600000000000003</v>
      </c>
    </row>
    <row r="106" spans="1:12" x14ac:dyDescent="0.3">
      <c r="A106" s="3" t="s">
        <v>369</v>
      </c>
      <c r="B106" s="3" t="s">
        <v>370</v>
      </c>
      <c r="C106" s="3" t="s">
        <v>155</v>
      </c>
      <c r="D106" s="3">
        <v>49</v>
      </c>
      <c r="E106" s="3">
        <v>61</v>
      </c>
      <c r="F106" s="3">
        <v>73</v>
      </c>
      <c r="G106" s="3">
        <v>44</v>
      </c>
      <c r="H106" s="3">
        <v>56</v>
      </c>
      <c r="I106" s="3">
        <v>283</v>
      </c>
      <c r="J106" s="3">
        <v>500</v>
      </c>
      <c r="K106" s="7">
        <f t="shared" si="2"/>
        <v>0.56599999999999995</v>
      </c>
      <c r="L106" s="4">
        <f t="shared" si="3"/>
        <v>0.43400000000000005</v>
      </c>
    </row>
    <row r="107" spans="1:12" x14ac:dyDescent="0.3">
      <c r="A107" s="3" t="s">
        <v>371</v>
      </c>
      <c r="B107" s="3" t="s">
        <v>372</v>
      </c>
      <c r="C107" s="3" t="s">
        <v>158</v>
      </c>
      <c r="D107" s="3">
        <v>62</v>
      </c>
      <c r="E107" s="3">
        <v>45</v>
      </c>
      <c r="F107" s="3">
        <v>68</v>
      </c>
      <c r="G107" s="3">
        <v>57</v>
      </c>
      <c r="H107" s="3">
        <v>41</v>
      </c>
      <c r="I107" s="3">
        <v>273</v>
      </c>
      <c r="J107" s="3">
        <v>500</v>
      </c>
      <c r="K107" s="7">
        <f t="shared" si="2"/>
        <v>0.54600000000000004</v>
      </c>
      <c r="L107" s="4">
        <f t="shared" si="3"/>
        <v>0.45399999999999996</v>
      </c>
    </row>
    <row r="108" spans="1:12" x14ac:dyDescent="0.3">
      <c r="A108" s="3" t="s">
        <v>373</v>
      </c>
      <c r="B108" s="3" t="s">
        <v>374</v>
      </c>
      <c r="C108" s="3" t="s">
        <v>161</v>
      </c>
      <c r="D108" s="3">
        <v>54</v>
      </c>
      <c r="E108" s="3">
        <v>72</v>
      </c>
      <c r="F108" s="3">
        <v>46</v>
      </c>
      <c r="G108" s="3">
        <v>59</v>
      </c>
      <c r="H108" s="3">
        <v>53</v>
      </c>
      <c r="I108" s="3">
        <v>284</v>
      </c>
      <c r="J108" s="3">
        <v>500</v>
      </c>
      <c r="K108" s="7">
        <f t="shared" si="2"/>
        <v>0.56799999999999995</v>
      </c>
      <c r="L108" s="4">
        <f t="shared" si="3"/>
        <v>0.43200000000000005</v>
      </c>
    </row>
    <row r="109" spans="1:12" x14ac:dyDescent="0.3">
      <c r="A109" s="3" t="s">
        <v>375</v>
      </c>
      <c r="B109" s="3" t="s">
        <v>376</v>
      </c>
      <c r="C109" s="3" t="s">
        <v>164</v>
      </c>
      <c r="D109" s="3">
        <v>69</v>
      </c>
      <c r="E109" s="3">
        <v>48</v>
      </c>
      <c r="F109" s="3">
        <v>63</v>
      </c>
      <c r="G109" s="3">
        <v>52</v>
      </c>
      <c r="H109" s="3">
        <v>74</v>
      </c>
      <c r="I109" s="3">
        <v>306</v>
      </c>
      <c r="J109" s="3">
        <v>500</v>
      </c>
      <c r="K109" s="7">
        <f t="shared" si="2"/>
        <v>0.61199999999999999</v>
      </c>
      <c r="L109" s="4">
        <f t="shared" si="3"/>
        <v>0.38800000000000001</v>
      </c>
    </row>
    <row r="110" spans="1:12" x14ac:dyDescent="0.3">
      <c r="A110" s="3" t="s">
        <v>377</v>
      </c>
      <c r="B110" s="3" t="s">
        <v>378</v>
      </c>
      <c r="C110" s="3" t="s">
        <v>167</v>
      </c>
      <c r="D110" s="3">
        <v>57</v>
      </c>
      <c r="E110" s="3">
        <v>66</v>
      </c>
      <c r="F110" s="3">
        <v>41</v>
      </c>
      <c r="G110" s="3">
        <v>75</v>
      </c>
      <c r="H110" s="3">
        <v>49</v>
      </c>
      <c r="I110" s="3">
        <v>288</v>
      </c>
      <c r="J110" s="3">
        <v>500</v>
      </c>
      <c r="K110" s="7">
        <f t="shared" si="2"/>
        <v>0.57599999999999996</v>
      </c>
      <c r="L110" s="4">
        <f t="shared" si="3"/>
        <v>0.42400000000000004</v>
      </c>
    </row>
    <row r="111" spans="1:12" x14ac:dyDescent="0.3">
      <c r="A111" s="3" t="s">
        <v>379</v>
      </c>
      <c r="B111" s="3" t="s">
        <v>380</v>
      </c>
      <c r="C111" s="3" t="s">
        <v>170</v>
      </c>
      <c r="D111" s="3">
        <v>63</v>
      </c>
      <c r="E111" s="3">
        <v>44</v>
      </c>
      <c r="F111" s="3">
        <v>71</v>
      </c>
      <c r="G111" s="3">
        <v>58</v>
      </c>
      <c r="H111" s="3">
        <v>52</v>
      </c>
      <c r="I111" s="3">
        <v>288</v>
      </c>
      <c r="J111" s="3">
        <v>500</v>
      </c>
      <c r="K111" s="7">
        <f t="shared" si="2"/>
        <v>0.57599999999999996</v>
      </c>
      <c r="L111" s="4">
        <f t="shared" si="3"/>
        <v>0.42400000000000004</v>
      </c>
    </row>
    <row r="112" spans="1:12" x14ac:dyDescent="0.3">
      <c r="A112" s="3" t="s">
        <v>381</v>
      </c>
      <c r="B112" s="3" t="s">
        <v>382</v>
      </c>
      <c r="C112" s="3" t="s">
        <v>173</v>
      </c>
      <c r="D112" s="3">
        <v>52</v>
      </c>
      <c r="E112" s="3">
        <v>68</v>
      </c>
      <c r="F112" s="3">
        <v>47</v>
      </c>
      <c r="G112" s="3">
        <v>60</v>
      </c>
      <c r="H112" s="3">
        <v>39</v>
      </c>
      <c r="I112" s="3">
        <v>266</v>
      </c>
      <c r="J112" s="3">
        <v>500</v>
      </c>
      <c r="K112" s="7">
        <f t="shared" si="2"/>
        <v>0.53200000000000003</v>
      </c>
      <c r="L112" s="4">
        <f t="shared" si="3"/>
        <v>0.46799999999999997</v>
      </c>
    </row>
    <row r="113" spans="1:12" x14ac:dyDescent="0.3">
      <c r="A113" s="3" t="s">
        <v>383</v>
      </c>
      <c r="B113" s="3" t="s">
        <v>384</v>
      </c>
      <c r="C113" s="3" t="s">
        <v>176</v>
      </c>
      <c r="D113" s="3">
        <v>74</v>
      </c>
      <c r="E113" s="3">
        <v>51</v>
      </c>
      <c r="F113" s="3">
        <v>44</v>
      </c>
      <c r="G113" s="3">
        <v>67</v>
      </c>
      <c r="H113" s="3">
        <v>55</v>
      </c>
      <c r="I113" s="3">
        <v>291</v>
      </c>
      <c r="J113" s="3">
        <v>500</v>
      </c>
      <c r="K113" s="7">
        <f t="shared" si="2"/>
        <v>0.58199999999999996</v>
      </c>
      <c r="L113" s="4">
        <f t="shared" si="3"/>
        <v>0.41800000000000004</v>
      </c>
    </row>
    <row r="114" spans="1:12" x14ac:dyDescent="0.3">
      <c r="A114" s="3" t="s">
        <v>385</v>
      </c>
      <c r="B114" s="3" t="s">
        <v>386</v>
      </c>
      <c r="C114" s="3" t="s">
        <v>155</v>
      </c>
      <c r="D114" s="3">
        <v>45</v>
      </c>
      <c r="E114" s="3">
        <v>62</v>
      </c>
      <c r="F114" s="3">
        <v>69</v>
      </c>
      <c r="G114" s="3">
        <v>53</v>
      </c>
      <c r="H114" s="3">
        <v>48</v>
      </c>
      <c r="I114" s="3">
        <v>277</v>
      </c>
      <c r="J114" s="3">
        <v>500</v>
      </c>
      <c r="K114" s="7">
        <f t="shared" si="2"/>
        <v>0.55400000000000005</v>
      </c>
      <c r="L114" s="4">
        <f t="shared" si="3"/>
        <v>0.44599999999999995</v>
      </c>
    </row>
    <row r="115" spans="1:12" x14ac:dyDescent="0.3">
      <c r="A115" s="3" t="s">
        <v>387</v>
      </c>
      <c r="B115" s="3" t="s">
        <v>388</v>
      </c>
      <c r="C115" s="3" t="s">
        <v>158</v>
      </c>
      <c r="D115" s="3">
        <v>61</v>
      </c>
      <c r="E115" s="3">
        <v>47</v>
      </c>
      <c r="F115" s="3">
        <v>72</v>
      </c>
      <c r="G115" s="3">
        <v>54</v>
      </c>
      <c r="H115" s="3">
        <v>43</v>
      </c>
      <c r="I115" s="3">
        <v>277</v>
      </c>
      <c r="J115" s="3">
        <v>500</v>
      </c>
      <c r="K115" s="7">
        <f t="shared" si="2"/>
        <v>0.55400000000000005</v>
      </c>
      <c r="L115" s="4">
        <f t="shared" si="3"/>
        <v>0.44599999999999995</v>
      </c>
    </row>
    <row r="116" spans="1:12" x14ac:dyDescent="0.3">
      <c r="A116" s="3" t="s">
        <v>389</v>
      </c>
      <c r="B116" s="3" t="s">
        <v>390</v>
      </c>
      <c r="C116" s="3" t="s">
        <v>161</v>
      </c>
      <c r="D116" s="3">
        <v>58</v>
      </c>
      <c r="E116" s="3">
        <v>63</v>
      </c>
      <c r="F116" s="3">
        <v>45</v>
      </c>
      <c r="G116" s="3">
        <v>70</v>
      </c>
      <c r="H116" s="3">
        <v>52</v>
      </c>
      <c r="I116" s="3">
        <v>288</v>
      </c>
      <c r="J116" s="3">
        <v>500</v>
      </c>
      <c r="K116" s="7">
        <f t="shared" si="2"/>
        <v>0.57599999999999996</v>
      </c>
      <c r="L116" s="4">
        <f t="shared" si="3"/>
        <v>0.42400000000000004</v>
      </c>
    </row>
    <row r="117" spans="1:12" x14ac:dyDescent="0.3">
      <c r="A117" s="3" t="s">
        <v>391</v>
      </c>
      <c r="B117" s="3" t="s">
        <v>392</v>
      </c>
      <c r="C117" s="3" t="s">
        <v>164</v>
      </c>
      <c r="D117" s="3">
        <v>66</v>
      </c>
      <c r="E117" s="3">
        <v>49</v>
      </c>
      <c r="F117" s="3">
        <v>74</v>
      </c>
      <c r="G117" s="3">
        <v>41</v>
      </c>
      <c r="H117" s="3">
        <v>59</v>
      </c>
      <c r="I117" s="3">
        <v>289</v>
      </c>
      <c r="J117" s="3">
        <v>500</v>
      </c>
      <c r="K117" s="7">
        <f t="shared" si="2"/>
        <v>0.57799999999999996</v>
      </c>
      <c r="L117" s="4">
        <f t="shared" si="3"/>
        <v>0.42200000000000004</v>
      </c>
    </row>
    <row r="118" spans="1:12" x14ac:dyDescent="0.3">
      <c r="A118" s="3" t="s">
        <v>393</v>
      </c>
      <c r="B118" s="3" t="s">
        <v>394</v>
      </c>
      <c r="C118" s="3" t="s">
        <v>167</v>
      </c>
      <c r="D118" s="3">
        <v>53</v>
      </c>
      <c r="E118" s="3">
        <v>71</v>
      </c>
      <c r="F118" s="3">
        <v>42</v>
      </c>
      <c r="G118" s="3">
        <v>60</v>
      </c>
      <c r="H118" s="3">
        <v>48</v>
      </c>
      <c r="I118" s="3">
        <v>274</v>
      </c>
      <c r="J118" s="3">
        <v>500</v>
      </c>
      <c r="K118" s="7">
        <f t="shared" si="2"/>
        <v>0.54800000000000004</v>
      </c>
      <c r="L118" s="4">
        <f t="shared" si="3"/>
        <v>0.45199999999999996</v>
      </c>
    </row>
    <row r="119" spans="1:12" x14ac:dyDescent="0.3">
      <c r="A119" s="3" t="s">
        <v>395</v>
      </c>
      <c r="B119" s="3" t="s">
        <v>396</v>
      </c>
      <c r="C119" s="3" t="s">
        <v>170</v>
      </c>
      <c r="D119" s="3">
        <v>72</v>
      </c>
      <c r="E119" s="3">
        <v>44</v>
      </c>
      <c r="F119" s="3">
        <v>65</v>
      </c>
      <c r="G119" s="3">
        <v>57</v>
      </c>
      <c r="H119" s="3">
        <v>39</v>
      </c>
      <c r="I119" s="3">
        <v>277</v>
      </c>
      <c r="J119" s="3">
        <v>500</v>
      </c>
      <c r="K119" s="7">
        <f t="shared" si="2"/>
        <v>0.55400000000000005</v>
      </c>
      <c r="L119" s="4">
        <f t="shared" si="3"/>
        <v>0.44599999999999995</v>
      </c>
    </row>
    <row r="120" spans="1:12" x14ac:dyDescent="0.3">
      <c r="A120" s="3" t="s">
        <v>397</v>
      </c>
      <c r="B120" s="3" t="s">
        <v>398</v>
      </c>
      <c r="C120" s="3" t="s">
        <v>173</v>
      </c>
      <c r="D120" s="3">
        <v>60</v>
      </c>
      <c r="E120" s="3">
        <v>52</v>
      </c>
      <c r="F120" s="3">
        <v>47</v>
      </c>
      <c r="G120" s="3">
        <v>69</v>
      </c>
      <c r="H120" s="3">
        <v>54</v>
      </c>
      <c r="I120" s="3">
        <v>282</v>
      </c>
      <c r="J120" s="3">
        <v>500</v>
      </c>
      <c r="K120" s="7">
        <f t="shared" si="2"/>
        <v>0.56399999999999995</v>
      </c>
      <c r="L120" s="4">
        <f t="shared" si="3"/>
        <v>0.43600000000000005</v>
      </c>
    </row>
    <row r="121" spans="1:12" x14ac:dyDescent="0.3">
      <c r="A121" s="3" t="s">
        <v>399</v>
      </c>
      <c r="B121" s="3" t="s">
        <v>400</v>
      </c>
      <c r="C121" s="3" t="s">
        <v>176</v>
      </c>
      <c r="D121" s="3">
        <v>49</v>
      </c>
      <c r="E121" s="3">
        <v>63</v>
      </c>
      <c r="F121" s="3">
        <v>75</v>
      </c>
      <c r="G121" s="3">
        <v>48</v>
      </c>
      <c r="H121" s="3">
        <v>41</v>
      </c>
      <c r="I121" s="3">
        <v>276</v>
      </c>
      <c r="J121" s="3">
        <v>500</v>
      </c>
      <c r="K121" s="7">
        <f t="shared" si="2"/>
        <v>0.55200000000000005</v>
      </c>
      <c r="L121" s="4">
        <f t="shared" si="3"/>
        <v>0.44799999999999995</v>
      </c>
    </row>
    <row r="122" spans="1:12" x14ac:dyDescent="0.3">
      <c r="A122" s="3" t="s">
        <v>401</v>
      </c>
      <c r="B122" s="3" t="s">
        <v>402</v>
      </c>
      <c r="C122" s="3" t="s">
        <v>155</v>
      </c>
      <c r="D122" s="3">
        <v>67</v>
      </c>
      <c r="E122" s="3">
        <v>45</v>
      </c>
      <c r="F122" s="3">
        <v>58</v>
      </c>
      <c r="G122" s="3">
        <v>72</v>
      </c>
      <c r="H122" s="3">
        <v>43</v>
      </c>
      <c r="I122" s="3">
        <v>285</v>
      </c>
      <c r="J122" s="3">
        <v>500</v>
      </c>
      <c r="K122" s="7">
        <f t="shared" si="2"/>
        <v>0.56999999999999995</v>
      </c>
      <c r="L122" s="4">
        <f t="shared" si="3"/>
        <v>0.43000000000000005</v>
      </c>
    </row>
    <row r="123" spans="1:12" x14ac:dyDescent="0.3">
      <c r="A123" s="3" t="s">
        <v>403</v>
      </c>
      <c r="B123" s="3" t="s">
        <v>404</v>
      </c>
      <c r="C123" s="3" t="s">
        <v>158</v>
      </c>
      <c r="D123" s="3">
        <v>55</v>
      </c>
      <c r="E123" s="3">
        <v>74</v>
      </c>
      <c r="F123" s="3">
        <v>39</v>
      </c>
      <c r="G123" s="3">
        <v>61</v>
      </c>
      <c r="H123" s="3">
        <v>52</v>
      </c>
      <c r="I123" s="3">
        <v>281</v>
      </c>
      <c r="J123" s="3">
        <v>500</v>
      </c>
      <c r="K123" s="7">
        <f t="shared" si="2"/>
        <v>0.56200000000000006</v>
      </c>
      <c r="L123" s="4">
        <f t="shared" si="3"/>
        <v>0.43799999999999994</v>
      </c>
    </row>
    <row r="124" spans="1:12" x14ac:dyDescent="0.3">
      <c r="A124" s="3" t="s">
        <v>405</v>
      </c>
      <c r="B124" s="3" t="s">
        <v>406</v>
      </c>
      <c r="C124" s="3" t="s">
        <v>161</v>
      </c>
      <c r="D124" s="3">
        <v>63</v>
      </c>
      <c r="E124" s="3">
        <v>48</v>
      </c>
      <c r="F124" s="3">
        <v>71</v>
      </c>
      <c r="G124" s="3">
        <v>54</v>
      </c>
      <c r="H124" s="3">
        <v>46</v>
      </c>
      <c r="I124" s="3">
        <v>282</v>
      </c>
      <c r="J124" s="3">
        <v>500</v>
      </c>
      <c r="K124" s="7">
        <f t="shared" si="2"/>
        <v>0.56399999999999995</v>
      </c>
      <c r="L124" s="4">
        <f t="shared" si="3"/>
        <v>0.43600000000000005</v>
      </c>
    </row>
    <row r="125" spans="1:12" x14ac:dyDescent="0.3">
      <c r="A125" s="3" t="s">
        <v>407</v>
      </c>
      <c r="B125" s="3" t="s">
        <v>408</v>
      </c>
      <c r="C125" s="3" t="s">
        <v>164</v>
      </c>
      <c r="D125" s="3">
        <v>50</v>
      </c>
      <c r="E125" s="3">
        <v>69</v>
      </c>
      <c r="F125" s="3">
        <v>44</v>
      </c>
      <c r="G125" s="3">
        <v>60</v>
      </c>
      <c r="H125" s="3">
        <v>73</v>
      </c>
      <c r="I125" s="3">
        <v>296</v>
      </c>
      <c r="J125" s="3">
        <v>500</v>
      </c>
      <c r="K125" s="7">
        <f t="shared" si="2"/>
        <v>0.59199999999999997</v>
      </c>
      <c r="L125" s="4">
        <f t="shared" si="3"/>
        <v>0.40800000000000003</v>
      </c>
    </row>
    <row r="126" spans="1:12" x14ac:dyDescent="0.3">
      <c r="A126" s="3" t="s">
        <v>409</v>
      </c>
      <c r="B126" s="3" t="s">
        <v>410</v>
      </c>
      <c r="C126" s="3" t="s">
        <v>167</v>
      </c>
      <c r="D126" s="3">
        <v>62</v>
      </c>
      <c r="E126" s="3">
        <v>47</v>
      </c>
      <c r="F126" s="3">
        <v>68</v>
      </c>
      <c r="G126" s="3">
        <v>55</v>
      </c>
      <c r="H126" s="3">
        <v>41</v>
      </c>
      <c r="I126" s="3">
        <v>273</v>
      </c>
      <c r="J126" s="3">
        <v>500</v>
      </c>
      <c r="K126" s="7">
        <f t="shared" si="2"/>
        <v>0.54600000000000004</v>
      </c>
      <c r="L126" s="4">
        <f t="shared" si="3"/>
        <v>0.45399999999999996</v>
      </c>
    </row>
    <row r="127" spans="1:12" x14ac:dyDescent="0.3">
      <c r="A127" s="3" t="s">
        <v>411</v>
      </c>
      <c r="B127" s="3" t="s">
        <v>412</v>
      </c>
      <c r="C127" s="3" t="s">
        <v>170</v>
      </c>
      <c r="D127" s="3">
        <v>58</v>
      </c>
      <c r="E127" s="3">
        <v>63</v>
      </c>
      <c r="F127" s="3">
        <v>45</v>
      </c>
      <c r="G127" s="3">
        <v>72</v>
      </c>
      <c r="H127" s="3">
        <v>49</v>
      </c>
      <c r="I127" s="3">
        <v>287</v>
      </c>
      <c r="J127" s="3">
        <v>500</v>
      </c>
      <c r="K127" s="7">
        <f t="shared" si="2"/>
        <v>0.57399999999999995</v>
      </c>
      <c r="L127" s="4">
        <f t="shared" si="3"/>
        <v>0.42600000000000005</v>
      </c>
    </row>
    <row r="128" spans="1:12" x14ac:dyDescent="0.3">
      <c r="A128" s="3" t="s">
        <v>413</v>
      </c>
      <c r="B128" s="3" t="s">
        <v>414</v>
      </c>
      <c r="C128" s="3" t="s">
        <v>173</v>
      </c>
      <c r="D128" s="3">
        <v>46</v>
      </c>
      <c r="E128" s="3">
        <v>71</v>
      </c>
      <c r="F128" s="3">
        <v>52</v>
      </c>
      <c r="G128" s="3">
        <v>59</v>
      </c>
      <c r="H128" s="3">
        <v>43</v>
      </c>
      <c r="I128" s="3">
        <v>271</v>
      </c>
      <c r="J128" s="3">
        <v>500</v>
      </c>
      <c r="K128" s="7">
        <f t="shared" si="2"/>
        <v>0.54200000000000004</v>
      </c>
      <c r="L128" s="4">
        <f t="shared" si="3"/>
        <v>0.45799999999999996</v>
      </c>
    </row>
    <row r="129" spans="1:12" x14ac:dyDescent="0.3">
      <c r="A129" s="3" t="s">
        <v>415</v>
      </c>
      <c r="B129" s="3" t="s">
        <v>416</v>
      </c>
      <c r="C129" s="3" t="s">
        <v>176</v>
      </c>
      <c r="D129" s="3">
        <v>73</v>
      </c>
      <c r="E129" s="3">
        <v>44</v>
      </c>
      <c r="F129" s="3">
        <v>60</v>
      </c>
      <c r="G129" s="3">
        <v>48</v>
      </c>
      <c r="H129" s="3">
        <v>67</v>
      </c>
      <c r="I129" s="3">
        <v>292</v>
      </c>
      <c r="J129" s="3">
        <v>500</v>
      </c>
      <c r="K129" s="7">
        <f t="shared" si="2"/>
        <v>0.58399999999999996</v>
      </c>
      <c r="L129" s="4">
        <f t="shared" si="3"/>
        <v>0.41600000000000004</v>
      </c>
    </row>
    <row r="130" spans="1:12" x14ac:dyDescent="0.3">
      <c r="A130" s="3" t="s">
        <v>417</v>
      </c>
      <c r="B130" s="3" t="s">
        <v>418</v>
      </c>
      <c r="C130" s="3" t="s">
        <v>155</v>
      </c>
      <c r="D130" s="3">
        <v>54</v>
      </c>
      <c r="E130" s="3">
        <v>62</v>
      </c>
      <c r="F130" s="3">
        <v>47</v>
      </c>
      <c r="G130" s="3">
        <v>75</v>
      </c>
      <c r="H130" s="3">
        <v>38</v>
      </c>
      <c r="I130" s="3">
        <v>276</v>
      </c>
      <c r="J130" s="3">
        <v>500</v>
      </c>
      <c r="K130" s="7">
        <f t="shared" si="2"/>
        <v>0.55200000000000005</v>
      </c>
      <c r="L130" s="4">
        <f t="shared" si="3"/>
        <v>0.44799999999999995</v>
      </c>
    </row>
    <row r="131" spans="1:12" x14ac:dyDescent="0.3">
      <c r="A131" s="3" t="s">
        <v>419</v>
      </c>
      <c r="B131" s="3" t="s">
        <v>420</v>
      </c>
      <c r="C131" s="3" t="s">
        <v>158</v>
      </c>
      <c r="D131" s="3">
        <v>61</v>
      </c>
      <c r="E131" s="3">
        <v>49</v>
      </c>
      <c r="F131" s="3">
        <v>72</v>
      </c>
      <c r="G131" s="3">
        <v>53</v>
      </c>
      <c r="H131" s="3">
        <v>44</v>
      </c>
      <c r="I131" s="3">
        <v>279</v>
      </c>
      <c r="J131" s="3">
        <v>500</v>
      </c>
      <c r="K131" s="7">
        <f t="shared" ref="K131:K143" si="4">I131/J131</f>
        <v>0.55800000000000005</v>
      </c>
      <c r="L131" s="4">
        <f t="shared" ref="L131:L143" si="5">100%-K131</f>
        <v>0.44199999999999995</v>
      </c>
    </row>
    <row r="132" spans="1:12" x14ac:dyDescent="0.3">
      <c r="A132" s="3" t="s">
        <v>421</v>
      </c>
      <c r="B132" s="3" t="s">
        <v>422</v>
      </c>
      <c r="C132" s="3" t="s">
        <v>161</v>
      </c>
      <c r="D132" s="3">
        <v>58</v>
      </c>
      <c r="E132" s="3">
        <v>66</v>
      </c>
      <c r="F132" s="3">
        <v>41</v>
      </c>
      <c r="G132" s="3">
        <v>70</v>
      </c>
      <c r="H132" s="3">
        <v>52</v>
      </c>
      <c r="I132" s="3">
        <v>287</v>
      </c>
      <c r="J132" s="3">
        <v>500</v>
      </c>
      <c r="K132" s="7">
        <f t="shared" si="4"/>
        <v>0.57399999999999995</v>
      </c>
      <c r="L132" s="4">
        <f t="shared" si="5"/>
        <v>0.42600000000000005</v>
      </c>
    </row>
    <row r="133" spans="1:12" x14ac:dyDescent="0.3">
      <c r="A133" s="3" t="s">
        <v>423</v>
      </c>
      <c r="B133" s="3" t="s">
        <v>424</v>
      </c>
      <c r="C133" s="3" t="s">
        <v>164</v>
      </c>
      <c r="D133" s="3">
        <v>63</v>
      </c>
      <c r="E133" s="3">
        <v>45</v>
      </c>
      <c r="F133" s="3">
        <v>69</v>
      </c>
      <c r="G133" s="3">
        <v>54</v>
      </c>
      <c r="H133" s="3">
        <v>47</v>
      </c>
      <c r="I133" s="3">
        <v>278</v>
      </c>
      <c r="J133" s="3">
        <v>500</v>
      </c>
      <c r="K133" s="7">
        <f t="shared" si="4"/>
        <v>0.55600000000000005</v>
      </c>
      <c r="L133" s="4">
        <f t="shared" si="5"/>
        <v>0.44399999999999995</v>
      </c>
    </row>
    <row r="134" spans="1:12" x14ac:dyDescent="0.3">
      <c r="A134" s="3" t="s">
        <v>425</v>
      </c>
      <c r="B134" s="3" t="s">
        <v>426</v>
      </c>
      <c r="C134" s="3" t="s">
        <v>167</v>
      </c>
      <c r="D134" s="3">
        <v>72</v>
      </c>
      <c r="E134" s="3">
        <v>48</v>
      </c>
      <c r="F134" s="3">
        <v>64</v>
      </c>
      <c r="G134" s="3">
        <v>51</v>
      </c>
      <c r="H134" s="3">
        <v>59</v>
      </c>
      <c r="I134" s="3">
        <v>294</v>
      </c>
      <c r="J134" s="3">
        <v>500</v>
      </c>
      <c r="K134" s="7">
        <f t="shared" si="4"/>
        <v>0.58799999999999997</v>
      </c>
      <c r="L134" s="4">
        <f t="shared" si="5"/>
        <v>0.41200000000000003</v>
      </c>
    </row>
    <row r="135" spans="1:12" x14ac:dyDescent="0.3">
      <c r="A135" s="3" t="s">
        <v>427</v>
      </c>
      <c r="B135" s="3" t="s">
        <v>428</v>
      </c>
      <c r="C135" s="3" t="s">
        <v>170</v>
      </c>
      <c r="D135" s="3">
        <v>55</v>
      </c>
      <c r="E135" s="3">
        <v>74</v>
      </c>
      <c r="F135" s="3">
        <v>39</v>
      </c>
      <c r="G135" s="3">
        <v>60</v>
      </c>
      <c r="H135" s="3">
        <v>43</v>
      </c>
      <c r="I135" s="3">
        <v>271</v>
      </c>
      <c r="J135" s="3">
        <v>500</v>
      </c>
      <c r="K135" s="7">
        <f t="shared" si="4"/>
        <v>0.54200000000000004</v>
      </c>
      <c r="L135" s="4">
        <f t="shared" si="5"/>
        <v>0.45799999999999996</v>
      </c>
    </row>
    <row r="136" spans="1:12" x14ac:dyDescent="0.3">
      <c r="A136" s="3" t="s">
        <v>429</v>
      </c>
      <c r="B136" s="3" t="s">
        <v>430</v>
      </c>
      <c r="C136" s="3" t="s">
        <v>173</v>
      </c>
      <c r="D136" s="3">
        <v>60</v>
      </c>
      <c r="E136" s="3">
        <v>52</v>
      </c>
      <c r="F136" s="3">
        <v>73</v>
      </c>
      <c r="G136" s="3">
        <v>44</v>
      </c>
      <c r="H136" s="3">
        <v>48</v>
      </c>
      <c r="I136" s="3">
        <v>277</v>
      </c>
      <c r="J136" s="3">
        <v>500</v>
      </c>
      <c r="K136" s="7">
        <f t="shared" si="4"/>
        <v>0.55400000000000005</v>
      </c>
      <c r="L136" s="4">
        <f t="shared" si="5"/>
        <v>0.44599999999999995</v>
      </c>
    </row>
    <row r="137" spans="1:12" x14ac:dyDescent="0.3">
      <c r="A137" s="3" t="s">
        <v>431</v>
      </c>
      <c r="B137" s="3" t="s">
        <v>432</v>
      </c>
      <c r="C137" s="3" t="s">
        <v>176</v>
      </c>
      <c r="D137" s="3">
        <v>47</v>
      </c>
      <c r="E137" s="3">
        <v>68</v>
      </c>
      <c r="F137" s="3">
        <v>55</v>
      </c>
      <c r="G137" s="3">
        <v>63</v>
      </c>
      <c r="H137" s="3">
        <v>41</v>
      </c>
      <c r="I137" s="3">
        <v>274</v>
      </c>
      <c r="J137" s="3">
        <v>500</v>
      </c>
      <c r="K137" s="7">
        <f t="shared" si="4"/>
        <v>0.54800000000000004</v>
      </c>
      <c r="L137" s="4">
        <f t="shared" si="5"/>
        <v>0.45199999999999996</v>
      </c>
    </row>
    <row r="138" spans="1:12" x14ac:dyDescent="0.3">
      <c r="A138" s="3" t="s">
        <v>433</v>
      </c>
      <c r="B138" s="3" t="s">
        <v>434</v>
      </c>
      <c r="C138" s="3" t="s">
        <v>155</v>
      </c>
      <c r="D138" s="3">
        <v>69</v>
      </c>
      <c r="E138" s="3">
        <v>44</v>
      </c>
      <c r="F138" s="3">
        <v>60</v>
      </c>
      <c r="G138" s="3">
        <v>75</v>
      </c>
      <c r="H138" s="3">
        <v>49</v>
      </c>
      <c r="I138" s="3">
        <v>297</v>
      </c>
      <c r="J138" s="3">
        <v>500</v>
      </c>
      <c r="K138" s="7">
        <f t="shared" si="4"/>
        <v>0.59399999999999997</v>
      </c>
      <c r="L138" s="4">
        <f t="shared" si="5"/>
        <v>0.40600000000000003</v>
      </c>
    </row>
    <row r="139" spans="1:12" x14ac:dyDescent="0.3">
      <c r="A139" s="3" t="s">
        <v>435</v>
      </c>
      <c r="B139" s="3" t="s">
        <v>436</v>
      </c>
      <c r="C139" s="3" t="s">
        <v>158</v>
      </c>
      <c r="D139" s="3">
        <v>58</v>
      </c>
      <c r="E139" s="3">
        <v>63</v>
      </c>
      <c r="F139" s="3">
        <v>47</v>
      </c>
      <c r="G139" s="3">
        <v>52</v>
      </c>
      <c r="H139" s="3">
        <v>71</v>
      </c>
      <c r="I139" s="3">
        <v>291</v>
      </c>
      <c r="J139" s="3">
        <v>500</v>
      </c>
      <c r="K139" s="7">
        <f t="shared" si="4"/>
        <v>0.58199999999999996</v>
      </c>
      <c r="L139" s="4">
        <f t="shared" si="5"/>
        <v>0.41800000000000004</v>
      </c>
    </row>
    <row r="140" spans="1:12" x14ac:dyDescent="0.3">
      <c r="A140" s="3" t="s">
        <v>437</v>
      </c>
      <c r="B140" s="3" t="s">
        <v>438</v>
      </c>
      <c r="C140" s="3" t="s">
        <v>161</v>
      </c>
      <c r="D140" s="3">
        <v>64</v>
      </c>
      <c r="E140" s="3">
        <v>48</v>
      </c>
      <c r="F140" s="3">
        <v>72</v>
      </c>
      <c r="G140" s="3">
        <v>41</v>
      </c>
      <c r="H140" s="3">
        <v>59</v>
      </c>
      <c r="I140" s="3">
        <v>284</v>
      </c>
      <c r="J140" s="3">
        <v>500</v>
      </c>
      <c r="K140" s="7">
        <f t="shared" si="4"/>
        <v>0.56799999999999995</v>
      </c>
      <c r="L140" s="4">
        <f t="shared" si="5"/>
        <v>0.43200000000000005</v>
      </c>
    </row>
    <row r="141" spans="1:12" x14ac:dyDescent="0.3">
      <c r="A141" s="3" t="s">
        <v>439</v>
      </c>
      <c r="B141" s="3" t="s">
        <v>440</v>
      </c>
      <c r="C141" s="3" t="s">
        <v>164</v>
      </c>
      <c r="D141" s="3">
        <v>53</v>
      </c>
      <c r="E141" s="3">
        <v>71</v>
      </c>
      <c r="F141" s="3">
        <v>42</v>
      </c>
      <c r="G141" s="3">
        <v>60</v>
      </c>
      <c r="H141" s="3">
        <v>48</v>
      </c>
      <c r="I141" s="3">
        <v>274</v>
      </c>
      <c r="J141" s="3">
        <v>500</v>
      </c>
      <c r="K141" s="7">
        <f t="shared" si="4"/>
        <v>0.54800000000000004</v>
      </c>
      <c r="L141" s="4">
        <f t="shared" si="5"/>
        <v>0.45199999999999996</v>
      </c>
    </row>
    <row r="142" spans="1:12" x14ac:dyDescent="0.3">
      <c r="A142" s="3" t="s">
        <v>441</v>
      </c>
      <c r="B142" s="3" t="s">
        <v>442</v>
      </c>
      <c r="C142" s="3" t="s">
        <v>167</v>
      </c>
      <c r="D142" s="3">
        <v>62</v>
      </c>
      <c r="E142" s="3">
        <v>45</v>
      </c>
      <c r="F142" s="3">
        <v>69</v>
      </c>
      <c r="G142" s="3">
        <v>57</v>
      </c>
      <c r="H142" s="3">
        <v>43</v>
      </c>
      <c r="I142" s="3">
        <v>276</v>
      </c>
      <c r="J142" s="3">
        <v>500</v>
      </c>
      <c r="K142" s="7">
        <f t="shared" si="4"/>
        <v>0.55200000000000005</v>
      </c>
      <c r="L142" s="4">
        <f t="shared" si="5"/>
        <v>0.44799999999999995</v>
      </c>
    </row>
    <row r="143" spans="1:12" x14ac:dyDescent="0.3">
      <c r="A143" s="3" t="s">
        <v>443</v>
      </c>
      <c r="B143" s="3" t="s">
        <v>444</v>
      </c>
      <c r="C143" s="3" t="s">
        <v>170</v>
      </c>
      <c r="D143" s="3">
        <v>74</v>
      </c>
      <c r="E143" s="3">
        <v>49</v>
      </c>
      <c r="F143" s="3">
        <v>63</v>
      </c>
      <c r="G143" s="3">
        <v>52</v>
      </c>
      <c r="H143" s="3">
        <v>46</v>
      </c>
      <c r="I143" s="3">
        <v>284</v>
      </c>
      <c r="J143" s="3">
        <v>500</v>
      </c>
      <c r="K143" s="7">
        <f t="shared" si="4"/>
        <v>0.56799999999999995</v>
      </c>
      <c r="L143" s="4">
        <f t="shared" si="5"/>
        <v>0.43200000000000005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1EFA9-7579-42AC-8134-B0EB2D7452AD}">
  <sheetPr codeName="Sheet3">
    <tabColor theme="5" tint="-0.499984740745262"/>
    <pageSetUpPr autoPageBreaks="0"/>
  </sheetPr>
  <dimension ref="A1:K8"/>
  <sheetViews>
    <sheetView showGridLines="0" tabSelected="1" zoomScaleNormal="100" workbookViewId="0">
      <selection activeCell="P9" sqref="P9"/>
    </sheetView>
  </sheetViews>
  <sheetFormatPr defaultRowHeight="14.4" x14ac:dyDescent="0.3"/>
  <cols>
    <col min="1" max="1" width="16.44140625" customWidth="1"/>
    <col min="2" max="2" width="10.33203125" bestFit="1" customWidth="1"/>
    <col min="3" max="3" width="2" customWidth="1"/>
    <col min="4" max="4" width="16.44140625" customWidth="1"/>
    <col min="5" max="5" width="12.5546875" customWidth="1"/>
    <col min="6" max="6" width="2.21875" customWidth="1"/>
    <col min="7" max="7" width="15.77734375" customWidth="1"/>
    <col min="8" max="8" width="15.109375" bestFit="1" customWidth="1"/>
    <col min="9" max="9" width="2.109375" customWidth="1"/>
    <col min="10" max="10" width="20" customWidth="1"/>
    <col min="11" max="11" width="23.5546875" customWidth="1"/>
  </cols>
  <sheetData>
    <row r="1" spans="1:11" ht="35.4" customHeight="1" x14ac:dyDescent="0.3">
      <c r="A1" s="8" t="b">
        <v>1</v>
      </c>
      <c r="B1" s="8"/>
      <c r="C1" s="8"/>
      <c r="D1" s="8" t="b">
        <v>0</v>
      </c>
      <c r="E1" s="8"/>
      <c r="F1" s="8"/>
      <c r="G1" s="8" t="b">
        <v>0</v>
      </c>
      <c r="H1" s="8"/>
      <c r="I1" s="8"/>
      <c r="J1" s="8" t="b">
        <v>1</v>
      </c>
      <c r="K1" s="10"/>
    </row>
    <row r="2" spans="1:11" ht="38.4" customHeight="1" x14ac:dyDescent="0.3">
      <c r="G2" t="s">
        <v>450</v>
      </c>
    </row>
    <row r="3" spans="1:11" x14ac:dyDescent="0.3">
      <c r="A3" s="5" t="s">
        <v>144</v>
      </c>
      <c r="B3" t="s">
        <v>447</v>
      </c>
      <c r="D3" s="5" t="s">
        <v>144</v>
      </c>
      <c r="E3" t="s">
        <v>447</v>
      </c>
      <c r="G3" s="5" t="s">
        <v>144</v>
      </c>
      <c r="H3" t="s">
        <v>448</v>
      </c>
      <c r="J3" s="5" t="s">
        <v>144</v>
      </c>
      <c r="K3" t="s">
        <v>449</v>
      </c>
    </row>
    <row r="4" spans="1:11" x14ac:dyDescent="0.3">
      <c r="A4" s="6" t="s">
        <v>250</v>
      </c>
      <c r="B4" s="9">
        <v>296</v>
      </c>
      <c r="D4" s="6" t="s">
        <v>382</v>
      </c>
      <c r="E4" s="9">
        <v>266</v>
      </c>
      <c r="G4" s="6" t="s">
        <v>376</v>
      </c>
      <c r="H4" s="1">
        <v>0.61199999999999999</v>
      </c>
      <c r="J4" s="6" t="s">
        <v>166</v>
      </c>
      <c r="K4" s="1">
        <v>0.45799999999999996</v>
      </c>
    </row>
    <row r="5" spans="1:11" x14ac:dyDescent="0.3">
      <c r="A5" s="6" t="s">
        <v>330</v>
      </c>
      <c r="B5" s="9">
        <v>289</v>
      </c>
      <c r="D5" s="6" t="s">
        <v>296</v>
      </c>
      <c r="E5" s="9">
        <v>265</v>
      </c>
      <c r="G5" s="6" t="s">
        <v>368</v>
      </c>
      <c r="H5" s="1">
        <v>0.59399999999999997</v>
      </c>
      <c r="J5" s="6" t="s">
        <v>394</v>
      </c>
      <c r="K5" s="1">
        <v>0.45199999999999996</v>
      </c>
    </row>
    <row r="6" spans="1:11" x14ac:dyDescent="0.3">
      <c r="A6" s="6" t="s">
        <v>202</v>
      </c>
      <c r="B6" s="9">
        <v>290</v>
      </c>
      <c r="D6" s="6" t="s">
        <v>198</v>
      </c>
      <c r="E6" s="9">
        <v>266</v>
      </c>
      <c r="G6" s="6" t="s">
        <v>250</v>
      </c>
      <c r="H6" s="1">
        <v>0.59199999999999997</v>
      </c>
      <c r="J6" s="6" t="s">
        <v>346</v>
      </c>
      <c r="K6" s="1">
        <v>0.45199999999999996</v>
      </c>
    </row>
    <row r="7" spans="1:11" x14ac:dyDescent="0.3">
      <c r="A7" s="6" t="s">
        <v>186</v>
      </c>
      <c r="B7" s="9">
        <v>290</v>
      </c>
      <c r="D7" s="6" t="s">
        <v>172</v>
      </c>
      <c r="E7" s="9">
        <v>266</v>
      </c>
      <c r="G7" s="6" t="s">
        <v>280</v>
      </c>
      <c r="H7" s="1">
        <v>0.60199999999999998</v>
      </c>
      <c r="J7" s="6" t="s">
        <v>410</v>
      </c>
      <c r="K7" s="1">
        <v>0.45399999999999996</v>
      </c>
    </row>
    <row r="8" spans="1:11" x14ac:dyDescent="0.3">
      <c r="A8" s="6" t="s">
        <v>426</v>
      </c>
      <c r="B8" s="9">
        <v>294</v>
      </c>
      <c r="D8" s="6" t="s">
        <v>157</v>
      </c>
      <c r="E8" s="9">
        <v>266</v>
      </c>
      <c r="G8" s="6" t="s">
        <v>434</v>
      </c>
      <c r="H8" s="1">
        <v>0.59399999999999997</v>
      </c>
      <c r="J8" s="6" t="s">
        <v>362</v>
      </c>
      <c r="K8" s="1">
        <v>0.45599999999999996</v>
      </c>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nchor moveWithCells="1">
                  <from>
                    <xdr:col>0</xdr:col>
                    <xdr:colOff>266700</xdr:colOff>
                    <xdr:row>1</xdr:row>
                    <xdr:rowOff>76200</xdr:rowOff>
                  </from>
                  <to>
                    <xdr:col>1</xdr:col>
                    <xdr:colOff>144780</xdr:colOff>
                    <xdr:row>1</xdr:row>
                    <xdr:rowOff>365760</xdr:rowOff>
                  </to>
                </anchor>
              </controlPr>
            </control>
          </mc:Choice>
        </mc:AlternateContent>
        <mc:AlternateContent xmlns:mc="http://schemas.openxmlformats.org/markup-compatibility/2006">
          <mc:Choice Requires="x14">
            <control shapeId="3075" r:id="rId9" name="Check Box 3">
              <controlPr defaultSize="0" autoFill="0" autoLine="0" autoPict="0" macro="[0]!SlicerConnection">
                <anchor moveWithCells="1">
                  <from>
                    <xdr:col>3</xdr:col>
                    <xdr:colOff>251460</xdr:colOff>
                    <xdr:row>1</xdr:row>
                    <xdr:rowOff>83820</xdr:rowOff>
                  </from>
                  <to>
                    <xdr:col>4</xdr:col>
                    <xdr:colOff>129540</xdr:colOff>
                    <xdr:row>1</xdr:row>
                    <xdr:rowOff>373380</xdr:rowOff>
                  </to>
                </anchor>
              </controlPr>
            </control>
          </mc:Choice>
        </mc:AlternateContent>
        <mc:AlternateContent xmlns:mc="http://schemas.openxmlformats.org/markup-compatibility/2006">
          <mc:Choice Requires="x14">
            <control shapeId="3076" r:id="rId10" name="Check Box 4">
              <controlPr defaultSize="0" autoFill="0" autoLine="0" autoPict="0" macro="[0]!SlicerConnection">
                <anchor moveWithCells="1">
                  <from>
                    <xdr:col>6</xdr:col>
                    <xdr:colOff>259080</xdr:colOff>
                    <xdr:row>1</xdr:row>
                    <xdr:rowOff>83820</xdr:rowOff>
                  </from>
                  <to>
                    <xdr:col>7</xdr:col>
                    <xdr:colOff>182880</xdr:colOff>
                    <xdr:row>1</xdr:row>
                    <xdr:rowOff>373380</xdr:rowOff>
                  </to>
                </anchor>
              </controlPr>
            </control>
          </mc:Choice>
        </mc:AlternateContent>
        <mc:AlternateContent xmlns:mc="http://schemas.openxmlformats.org/markup-compatibility/2006">
          <mc:Choice Requires="x14">
            <control shapeId="3077" r:id="rId11" name="Check Box 5">
              <controlPr defaultSize="0" autoFill="0" autoLine="0" autoPict="0" macro="[0]!SlicerConnection">
                <anchor moveWithCells="1">
                  <from>
                    <xdr:col>9</xdr:col>
                    <xdr:colOff>251460</xdr:colOff>
                    <xdr:row>1</xdr:row>
                    <xdr:rowOff>83820</xdr:rowOff>
                  </from>
                  <to>
                    <xdr:col>9</xdr:col>
                    <xdr:colOff>1257300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 Data</vt:lpstr>
      <vt:lpstr>Cleaned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 Boruah</dc:creator>
  <cp:lastModifiedBy>Aditya Boruah</cp:lastModifiedBy>
  <dcterms:created xsi:type="dcterms:W3CDTF">2026-02-14T06:22:45Z</dcterms:created>
  <dcterms:modified xsi:type="dcterms:W3CDTF">2026-02-14T08:07:57Z</dcterms:modified>
</cp:coreProperties>
</file>
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f570d5d27e374828/Documents/"/>
    </mc:Choice>
  </mc:AlternateContent>
  <xr:revisionPtr revIDLastSave="0" documentId="8_{6E86F483-9444-485D-8A0D-0593325B16F1}" xr6:coauthVersionLast="47" xr6:coauthVersionMax="47" xr10:uidLastSave="{00000000-0000-0000-0000-000000000000}"/>
  <bookViews>
    <workbookView xWindow="-108" yWindow="-108" windowWidth="23256" windowHeight="12456" xr2:uid="{99DC5FD8-B473-4C72-9565-54B227C70D73}"/>
  </bookViews>
  <sheets>
    <sheet name="Raw Data" sheetId="1" r:id="rId1"/>
    <sheet name="Clean Data" sheetId="2" r:id="rId2"/>
    <sheet name="MIS Report" sheetId="3" r:id="rId3"/>
    <sheet name="Pivot Table" sheetId="4" r:id="rId4"/>
  </sheets>
  <definedNames>
    <definedName name="_xlcn.WorksheetConnection_Sheet12A1J471" hidden="1">'Clean Data'!$A$1:$J$47</definedName>
    <definedName name="Slicer_Brand_Category">#N/A</definedName>
    <definedName name="Slicer_Channel">#N/A</definedName>
    <definedName name="Slicer_Product_Category">#N/A</definedName>
    <definedName name="Slicer_Sales_Type">#N/A</definedName>
  </definedNames>
  <calcPr calcId="191029"/>
  <pivotCaches>
    <pivotCache cacheId="203" r:id="rId5"/>
    <pivotCache cacheId="206" r:id="rId6"/>
  </pivotCaches>
  <extLst>
    <ext xmlns:x14="http://schemas.microsoft.com/office/spreadsheetml/2009/9/main" uri="{876F7934-8845-4945-9796-88D515C7AA90}">
      <x14:pivotCaches>
        <pivotCache cacheId="53" r:id="rId7"/>
      </x14:pivotCaches>
    </ex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 (2)!$A$1:$J$4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3" l="1"/>
  <c r="M6" i="3"/>
  <c r="N6" i="3"/>
  <c r="L7" i="3"/>
  <c r="M7" i="3"/>
  <c r="N7" i="3"/>
  <c r="O7" i="3" s="1"/>
  <c r="L8" i="3"/>
  <c r="M8" i="3"/>
  <c r="N8" i="3"/>
  <c r="L9" i="3"/>
  <c r="M9" i="3"/>
  <c r="N9" i="3"/>
  <c r="L10" i="3"/>
  <c r="M10" i="3"/>
  <c r="N10" i="3"/>
  <c r="M5" i="3"/>
  <c r="N5" i="3"/>
  <c r="L5" i="3"/>
  <c r="F6" i="3"/>
  <c r="G6" i="3"/>
  <c r="H6" i="3"/>
  <c r="F7" i="3"/>
  <c r="G7" i="3"/>
  <c r="H7" i="3"/>
  <c r="F8" i="3"/>
  <c r="G8" i="3"/>
  <c r="H8" i="3"/>
  <c r="F9" i="3"/>
  <c r="G9" i="3"/>
  <c r="H9" i="3"/>
  <c r="F10" i="3"/>
  <c r="G10" i="3"/>
  <c r="H10" i="3"/>
  <c r="F11" i="3"/>
  <c r="G11" i="3"/>
  <c r="H11" i="3"/>
  <c r="F12" i="3"/>
  <c r="G12" i="3"/>
  <c r="H12" i="3"/>
  <c r="F13" i="3"/>
  <c r="G13" i="3"/>
  <c r="H13" i="3"/>
  <c r="F14" i="3"/>
  <c r="G14" i="3"/>
  <c r="H14" i="3"/>
  <c r="F15" i="3"/>
  <c r="G15" i="3"/>
  <c r="H15" i="3"/>
  <c r="F16" i="3"/>
  <c r="G16" i="3"/>
  <c r="H16" i="3"/>
  <c r="F17" i="3"/>
  <c r="G17" i="3"/>
  <c r="H17" i="3"/>
  <c r="F18" i="3"/>
  <c r="G18" i="3"/>
  <c r="H18" i="3"/>
  <c r="F19" i="3"/>
  <c r="G19" i="3"/>
  <c r="H19" i="3"/>
  <c r="G5" i="3"/>
  <c r="H5" i="3"/>
  <c r="F5" i="3"/>
  <c r="I18" i="3" l="1"/>
  <c r="I14" i="3"/>
  <c r="I10" i="3"/>
  <c r="I6" i="3"/>
  <c r="O8" i="3"/>
  <c r="I19" i="3"/>
  <c r="I15" i="3"/>
  <c r="I11" i="3"/>
  <c r="I7" i="3"/>
  <c r="O10" i="3"/>
  <c r="O6" i="3"/>
  <c r="O9" i="3"/>
  <c r="M11" i="3"/>
  <c r="N11" i="3"/>
  <c r="O5" i="3"/>
  <c r="I16" i="3"/>
  <c r="I12" i="3"/>
  <c r="I8" i="3"/>
  <c r="I5" i="3"/>
  <c r="G20" i="3"/>
  <c r="H20" i="3"/>
  <c r="I17" i="3"/>
  <c r="I13" i="3"/>
  <c r="I9" i="3"/>
  <c r="O11" i="3" l="1"/>
  <c r="I2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4E6A15-4091-43F0-ADED-5E01BDD38A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487377E-811E-4D06-9D8D-2BD2082175C6}" name="WorksheetConnection_Sheet1 (2)!$A$1:$J$47" type="102" refreshedVersion="8" minRefreshableVersion="5">
    <extLst>
      <ext xmlns:x15="http://schemas.microsoft.com/office/spreadsheetml/2010/11/main" uri="{DE250136-89BD-433C-8126-D09CA5730AF9}">
        <x15:connection id="Range" autoDelete="1">
          <x15:rangePr sourceName="_xlcn.WorksheetConnection_Sheet12A1J471"/>
        </x15:connection>
      </ext>
    </extLst>
  </connection>
</connections>
</file>

<file path=xl/sharedStrings.xml><?xml version="1.0" encoding="utf-8"?>
<sst xmlns="http://schemas.openxmlformats.org/spreadsheetml/2006/main" count="412" uniqueCount="109">
  <si>
    <t>State,Brand,Channel,Sales Type,Year,Month,Sales Value,Brand Category,QTY,Product Category</t>
  </si>
  <si>
    <t>Punjab,Brand - 1,Urban,Retail,2022,January,1.20,Premium,12,Health Care</t>
  </si>
  <si>
    <t>Punjab,Brand - 2,Urban,Whole Sale,2022,February,1.45,Regular,15,Home Care</t>
  </si>
  <si>
    <t>Punjab,Brand - 3,Rural,Super Stockist,2022,March,1.05,Premium,10,Food &amp; Beverage</t>
  </si>
  <si>
    <t>Punjab,Brand - 4,Urban,Retail,2022,April,1.75,Regular,18,Health Care</t>
  </si>
  <si>
    <t>Punjab,Brand - 5,Rural,Super Stockist,2022,May,1.30,Premium,13,Home Care</t>
  </si>
  <si>
    <t>Delhi,Brand - 6,Urban,Retail,2022,June,2.10,Premium,22,Food &amp; Beverage</t>
  </si>
  <si>
    <t>Delhi,Brand - 7,Urban,Whole Sale,2022,July,2.45,Regular,25,Health Care</t>
  </si>
  <si>
    <t>Delhi,Brand - 8,Rural,Super Stockist,2022,August,1.85,Premium,19,Home Care</t>
  </si>
  <si>
    <t>Delhi,Brand - 9,Urban,Retail,2022,September,2.75,Regular,28,Food &amp; Beverage</t>
  </si>
  <si>
    <t>Delhi,Brand - 10,Rural,Super Stockist,2022,October,1.95,Premium,20,Health Care</t>
  </si>
  <si>
    <t>Maharashtra,Brand - 11,Urban,Retail,2023,January,3.20,Premium,30,Health Care</t>
  </si>
  <si>
    <t>Maharashtra,Brand - 12,Urban,Whole Sale,2023,February,3.45,Regular,32,Food &amp; Beverage</t>
  </si>
  <si>
    <t>Maharashtra,Brand - 13,Rural,Super Stockist,2023,March,2.80,Premium,27,Home Care</t>
  </si>
  <si>
    <t>Maharashtra,Brand - 14,Urban,Retail,2023,April,3.95,Regular,35,Health Care</t>
  </si>
  <si>
    <t>Maharashtra,Brand - 15,Rural,Super Stockist,2023,May,2.75,Premium,25,Food &amp; Beverage</t>
  </si>
  <si>
    <t>Karnataka,Brand - 1,Urban,Retail,2023,June,2.50,Premium,24,Home Care</t>
  </si>
  <si>
    <t>Karnataka,Brand - 2,Urban,Whole Sale,2023,July,2.95,Regular,29,Health Care</t>
  </si>
  <si>
    <t>Karnataka,Brand - 3,Rural,Super Stockist,2023,August,2.10,Premium,21,Food &amp; Beverage</t>
  </si>
  <si>
    <t>Karnataka,Brand - 4,Urban,Retail,2023,September,3.60,Regular,33,Home Care</t>
  </si>
  <si>
    <t>Karnataka,Brand - 5,Rural,Super Stockist,2023,October,2.40,Premium,22,Health Care</t>
  </si>
  <si>
    <t>Tamil Nadu,Brand - 6,Urban,Retail,2023,November,4.10,Premium,40,Food &amp; Beverage</t>
  </si>
  <si>
    <t>Tamil Nadu,Brand - 7,Urban,Whole Sale,2023,December,4.45,Regular,43,Health Care</t>
  </si>
  <si>
    <t>Tamil Nadu,Brand - 8,Rural,Super Stockist,2024,January,3.75,Premium,36,Home Care</t>
  </si>
  <si>
    <t>Tamil Nadu,Brand - 9,Urban,Retail,2024,February,4.80,Regular,46,Food &amp; Beverage</t>
  </si>
  <si>
    <t>Tamil Nadu,Brand - 10,Rural,Super Stockist,2024,March,3.60,Premium,34,Health Care</t>
  </si>
  <si>
    <t>Assam,Brand - 11,Urban,Retail,2024,April,2.20,Premium,18,Home Care</t>
  </si>
  <si>
    <t>Assam,Brand - 13,Rural,Super Stockist,2024,June,1.95,Premium,16,Health Care</t>
  </si>
  <si>
    <t>Assam,Brand - 14,Urban,Retail,2024,July,2.85,Regular,24,Home Care</t>
  </si>
  <si>
    <t>Assam,Brand - 15,Rural,Super Stockist,2024,August,1.75,Premium,14,Food &amp; Beverage</t>
  </si>
  <si>
    <t>West Bengal,Brand - 1,Urban,Retail,2024,September,5.10,Premium,50,Health Care</t>
  </si>
  <si>
    <t>West Bengal,Brand - 2,Urban,Whole Sale,2024,October,5.45,Regular,52,Food &amp; Beverage</t>
  </si>
  <si>
    <t>West Bengal,Brand - 3,Rural,Super Stockist,2024,November,4.80,Premium,47,Home Care</t>
  </si>
  <si>
    <t>West Bengal,Brand - 4,Urban,Retail,2024,December,5.95,Regular,58,Health Care</t>
  </si>
  <si>
    <t>West Bengal,Brand - 5,Rural,Super Stockist,2025,January,4.60,Premium,44,Food &amp; Beverage</t>
  </si>
  <si>
    <t>Gujarat,Brand - 6,Urban,Retail,2025,February,3.40,Premium,30,Home Care</t>
  </si>
  <si>
    <t>Gujarat,Brand - 7,Urban,Whole Sale,2025,March,3.75,Regular,33,Health Care</t>
  </si>
  <si>
    <t>Gujarat,Brand - 8,Rural,Super Stockist,2025,April,3.10,Premium,28,Food &amp; Beverage</t>
  </si>
  <si>
    <t>Gujarat,Brand - 9,Urban,Retail,2025,May,4.20,Regular,36,Home Care</t>
  </si>
  <si>
    <t>Gujarat,Brand - 10,Rural,Super Stockist,2025,June,3.00,Premium,26,Health Care</t>
  </si>
  <si>
    <t>Rajasthan,Brand - 11,Urban,Retail,2025,July,2.90,Premium,25,Food &amp; Beverage</t>
  </si>
  <si>
    <t>Rajasthan,Brand - 12,Urban,Whole Sale,2025,August,3.20,Regular,29,Health Care</t>
  </si>
  <si>
    <t>Rajasthan,Brand - 13,Rural,Super Stockist,2025,September,2.60,Premium,23,Home Care</t>
  </si>
  <si>
    <t>Rajasthan,Brand - 14,Urban,Retail,2025,October,3.75,Regular,31,Food &amp; Beverage</t>
  </si>
  <si>
    <t>Rajasthan,Brand - 15,Rural,Super Stockist,2025,November,2.45,Premium,21,Health Care</t>
  </si>
  <si>
    <t>Haryana,Brand - 1,Urban,Retail,2025,December,3.10,Premium,27,Home Care</t>
  </si>
  <si>
    <t>State</t>
  </si>
  <si>
    <t>Brand</t>
  </si>
  <si>
    <t>Channel</t>
  </si>
  <si>
    <t>Sales Type</t>
  </si>
  <si>
    <t>Year</t>
  </si>
  <si>
    <t>Month</t>
  </si>
  <si>
    <t>Sales Value</t>
  </si>
  <si>
    <t>Brand Category</t>
  </si>
  <si>
    <t>QTY</t>
  </si>
  <si>
    <t>Product Category</t>
  </si>
  <si>
    <t>Punjab</t>
  </si>
  <si>
    <t>Brand - 1</t>
  </si>
  <si>
    <t>Urban</t>
  </si>
  <si>
    <t>Retail</t>
  </si>
  <si>
    <t>January</t>
  </si>
  <si>
    <t>Premium</t>
  </si>
  <si>
    <t>Health Care</t>
  </si>
  <si>
    <t>Brand - 2</t>
  </si>
  <si>
    <t>Whole Sale</t>
  </si>
  <si>
    <t>February</t>
  </si>
  <si>
    <t>Regular</t>
  </si>
  <si>
    <t>Home Care</t>
  </si>
  <si>
    <t>Brand - 3</t>
  </si>
  <si>
    <t>Rural</t>
  </si>
  <si>
    <t>Super Stockist</t>
  </si>
  <si>
    <t>March</t>
  </si>
  <si>
    <t>Food &amp; Beverage</t>
  </si>
  <si>
    <t>Brand - 4</t>
  </si>
  <si>
    <t>April</t>
  </si>
  <si>
    <t>Brand - 5</t>
  </si>
  <si>
    <t>May</t>
  </si>
  <si>
    <t>Delhi</t>
  </si>
  <si>
    <t>Brand - 6</t>
  </si>
  <si>
    <t>June</t>
  </si>
  <si>
    <t>Brand - 7</t>
  </si>
  <si>
    <t>July</t>
  </si>
  <si>
    <t>Brand - 8</t>
  </si>
  <si>
    <t>August</t>
  </si>
  <si>
    <t>Brand - 9</t>
  </si>
  <si>
    <t>September</t>
  </si>
  <si>
    <t>Brand - 10</t>
  </si>
  <si>
    <t>October</t>
  </si>
  <si>
    <t>Maharashtra</t>
  </si>
  <si>
    <t>Brand - 11</t>
  </si>
  <si>
    <t>Brand - 12</t>
  </si>
  <si>
    <t>Brand - 13</t>
  </si>
  <si>
    <t>Brand - 14</t>
  </si>
  <si>
    <t>Brand - 15</t>
  </si>
  <si>
    <t>Karnataka</t>
  </si>
  <si>
    <t>Tamil Nadu</t>
  </si>
  <si>
    <t>November</t>
  </si>
  <si>
    <t>December</t>
  </si>
  <si>
    <t>Assam</t>
  </si>
  <si>
    <t>West Bengal</t>
  </si>
  <si>
    <t>Gujarat</t>
  </si>
  <si>
    <t>Rajasthan</t>
  </si>
  <si>
    <t>Haryana</t>
  </si>
  <si>
    <t>Row Labels</t>
  </si>
  <si>
    <t>Sum of Sales Value</t>
  </si>
  <si>
    <t>Column Labels</t>
  </si>
  <si>
    <t>Growth %</t>
  </si>
  <si>
    <t>Assam,Brand - 12,Urban,Whole Sale,2022,May,2.55,Regular,22,Food &amp; Beverage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</si>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</sst>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1"/>
      <color theme="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rgb="FFC00000"/>
        <bgColor indexed="64"/>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2" borderId="1" xfId="0" applyFill="1" applyBorder="1"/>
    <xf numFmtId="0" fontId="0" fillId="3" borderId="1" xfId="0" applyFill="1" applyBorder="1"/>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horizontal="center" vertical="center"/>
    </xf>
    <xf numFmtId="0" fontId="0" fillId="0" borderId="1" xfId="0" applyBorder="1"/>
    <xf numFmtId="0" fontId="2" fillId="4" borderId="1" xfId="0" applyFont="1" applyFill="1" applyBorder="1" applyAlignment="1">
      <alignment horizontal="center"/>
    </xf>
    <xf numFmtId="0" fontId="0" fillId="0" borderId="1" xfId="0" applyBorder="1" applyAlignment="1">
      <alignment horizontal="center"/>
    </xf>
    <xf numFmtId="9" fontId="0" fillId="0" borderId="1" xfId="1" applyFont="1" applyBorder="1" applyAlignment="1">
      <alignment horizontal="center"/>
    </xf>
    <xf numFmtId="0" fontId="0" fillId="5" borderId="1" xfId="0" applyFill="1" applyBorder="1"/>
    <xf numFmtId="0" fontId="0" fillId="5" borderId="1" xfId="0" applyFill="1" applyBorder="1" applyAlignment="1">
      <alignment horizontal="center"/>
    </xf>
    <xf numFmtId="9" fontId="0" fillId="5" borderId="1" xfId="1" applyFont="1" applyFill="1" applyBorder="1" applyAlignment="1">
      <alignment horizontal="center"/>
    </xf>
    <xf numFmtId="0" fontId="0" fillId="0" borderId="1" xfId="0" applyBorder="1" applyAlignment="1">
      <alignment horizontal="center" vertical="center"/>
    </xf>
  </cellXfs>
  <cellStyles count="2">
    <cellStyle name="Normal" xfId="0" builtinId="0"/>
    <cellStyle name="Percent" xfId="1" builtinId="5"/>
  </cellStyles>
  <dxfs count="134">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font>
        <color rgb="FF9C0006"/>
      </font>
      <fill>
        <patternFill>
          <bgColor rgb="FFFFC7CE"/>
        </patternFill>
      </fill>
    </dxf>
    <dxf>
      <font>
        <color rgb="FF9C0006"/>
      </font>
      <fill>
        <patternFill>
          <bgColor rgb="FFFFC7CE"/>
        </patternFill>
      </fill>
    </dxf>
    <dxf>
      <alignment horizontal="center"/>
    </dxf>
    <dxf>
      <alignment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'MIS Report'!$L$5:$L$10</c:f>
              <c:strCache>
                <c:ptCount val="6"/>
                <c:pt idx="0">
                  <c:v>Assam</c:v>
                </c:pt>
                <c:pt idx="1">
                  <c:v>Delhi</c:v>
                </c:pt>
                <c:pt idx="2">
                  <c:v>Karnataka</c:v>
                </c:pt>
                <c:pt idx="3">
                  <c:v>Maharashtra</c:v>
                </c:pt>
                <c:pt idx="4">
                  <c:v>Punjab</c:v>
                </c:pt>
                <c:pt idx="5">
                  <c:v>Tamil Nadu</c:v>
                </c:pt>
              </c:strCache>
            </c:strRef>
          </c:cat>
          <c:val>
            <c:numRef>
              <c:f>'MIS Report'!$M$5:$M$10</c:f>
              <c:numCache>
                <c:formatCode>General</c:formatCode>
                <c:ptCount val="6"/>
                <c:pt idx="0">
                  <c:v>2.5499999999999998</c:v>
                </c:pt>
                <c:pt idx="1">
                  <c:v>11.1</c:v>
                </c:pt>
                <c:pt idx="2">
                  <c:v>0</c:v>
                </c:pt>
                <c:pt idx="3">
                  <c:v>0</c:v>
                </c:pt>
                <c:pt idx="4">
                  <c:v>6.75</c:v>
                </c:pt>
                <c:pt idx="5">
                  <c:v>0</c:v>
                </c:pt>
              </c:numCache>
            </c:numRef>
          </c:val>
          <c:extLst>
            <c:ext xmlns:c16="http://schemas.microsoft.com/office/drawing/2014/chart" uri="{C3380CC4-5D6E-409C-BE32-E72D297353CC}">
              <c16:uniqueId val="{00000000-4081-4708-B1FF-44FA48BDA5B0}"/>
            </c:ext>
          </c:extLst>
        </c:ser>
        <c:ser>
          <c:idx val="1"/>
          <c:order val="1"/>
          <c:spPr>
            <a:solidFill>
              <a:schemeClr val="accent2"/>
            </a:solidFill>
            <a:ln>
              <a:noFill/>
            </a:ln>
            <a:effectLst/>
          </c:spPr>
          <c:invertIfNegative val="0"/>
          <c:cat>
            <c:strRef>
              <c:f>'MIS Report'!$L$5:$L$10</c:f>
              <c:strCache>
                <c:ptCount val="6"/>
                <c:pt idx="0">
                  <c:v>Assam</c:v>
                </c:pt>
                <c:pt idx="1">
                  <c:v>Delhi</c:v>
                </c:pt>
                <c:pt idx="2">
                  <c:v>Karnataka</c:v>
                </c:pt>
                <c:pt idx="3">
                  <c:v>Maharashtra</c:v>
                </c:pt>
                <c:pt idx="4">
                  <c:v>Punjab</c:v>
                </c:pt>
                <c:pt idx="5">
                  <c:v>Tamil Nadu</c:v>
                </c:pt>
              </c:strCache>
            </c:strRef>
          </c:cat>
          <c:val>
            <c:numRef>
              <c:f>'MIS Report'!$N$5:$N$10</c:f>
              <c:numCache>
                <c:formatCode>General</c:formatCode>
                <c:ptCount val="6"/>
                <c:pt idx="0">
                  <c:v>0</c:v>
                </c:pt>
                <c:pt idx="1">
                  <c:v>0</c:v>
                </c:pt>
                <c:pt idx="2">
                  <c:v>13.55</c:v>
                </c:pt>
                <c:pt idx="3">
                  <c:v>16.149999999999999</c:v>
                </c:pt>
                <c:pt idx="4">
                  <c:v>0</c:v>
                </c:pt>
                <c:pt idx="5">
                  <c:v>8.5500000000000007</c:v>
                </c:pt>
              </c:numCache>
            </c:numRef>
          </c:val>
          <c:extLst>
            <c:ext xmlns:c16="http://schemas.microsoft.com/office/drawing/2014/chart" uri="{C3380CC4-5D6E-409C-BE32-E72D297353CC}">
              <c16:uniqueId val="{00000001-4081-4708-B1FF-44FA48BDA5B0}"/>
            </c:ext>
          </c:extLst>
        </c:ser>
        <c:dLbls>
          <c:showLegendKey val="0"/>
          <c:showVal val="0"/>
          <c:showCatName val="0"/>
          <c:showSerName val="0"/>
          <c:showPercent val="0"/>
          <c:showBubbleSize val="0"/>
        </c:dLbls>
        <c:gapWidth val="219"/>
        <c:overlap val="-27"/>
        <c:axId val="1502935151"/>
        <c:axId val="1502935631"/>
      </c:barChart>
      <c:catAx>
        <c:axId val="150293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935631"/>
        <c:crosses val="autoZero"/>
        <c:auto val="1"/>
        <c:lblAlgn val="ctr"/>
        <c:lblOffset val="100"/>
        <c:noMultiLvlLbl val="0"/>
      </c:catAx>
      <c:valAx>
        <c:axId val="1502935631"/>
        <c:scaling>
          <c:orientation val="minMax"/>
        </c:scaling>
        <c:delete val="1"/>
        <c:axPos val="l"/>
        <c:numFmt formatCode="General" sourceLinked="1"/>
        <c:majorTickMark val="none"/>
        <c:minorTickMark val="none"/>
        <c:tickLblPos val="nextTo"/>
        <c:crossAx val="150293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190500</xdr:colOff>
      <xdr:row>0</xdr:row>
      <xdr:rowOff>137160</xdr:rowOff>
    </xdr:from>
    <xdr:to>
      <xdr:col>8</xdr:col>
      <xdr:colOff>617220</xdr:colOff>
      <xdr:row>2</xdr:row>
      <xdr:rowOff>83820</xdr:rowOff>
    </xdr:to>
    <xdr:sp macro="" textlink="">
      <xdr:nvSpPr>
        <xdr:cNvPr id="2" name="Rectangle: Rounded Corners 1">
          <a:extLst>
            <a:ext uri="{FF2B5EF4-FFF2-40B4-BE49-F238E27FC236}">
              <a16:creationId xmlns:a16="http://schemas.microsoft.com/office/drawing/2014/main" id="{84D79F74-A3DD-A019-3D69-8FC40CE7FB78}"/>
            </a:ext>
          </a:extLst>
        </xdr:cNvPr>
        <xdr:cNvSpPr/>
      </xdr:nvSpPr>
      <xdr:spPr>
        <a:xfrm>
          <a:off x="3429000" y="137160"/>
          <a:ext cx="2842260" cy="312420"/>
        </a:xfrm>
        <a:prstGeom prst="roundRect">
          <a:avLst>
            <a:gd name="adj" fmla="val 50000"/>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Brand Wise Growth</a:t>
          </a:r>
        </a:p>
      </xdr:txBody>
    </xdr:sp>
    <xdr:clientData/>
  </xdr:twoCellAnchor>
  <xdr:twoCellAnchor>
    <xdr:from>
      <xdr:col>11</xdr:col>
      <xdr:colOff>30480</xdr:colOff>
      <xdr:row>0</xdr:row>
      <xdr:rowOff>137160</xdr:rowOff>
    </xdr:from>
    <xdr:to>
      <xdr:col>15</xdr:col>
      <xdr:colOff>0</xdr:colOff>
      <xdr:row>2</xdr:row>
      <xdr:rowOff>83820</xdr:rowOff>
    </xdr:to>
    <xdr:sp macro="" textlink="">
      <xdr:nvSpPr>
        <xdr:cNvPr id="3" name="Rectangle: Rounded Corners 2">
          <a:extLst>
            <a:ext uri="{FF2B5EF4-FFF2-40B4-BE49-F238E27FC236}">
              <a16:creationId xmlns:a16="http://schemas.microsoft.com/office/drawing/2014/main" id="{76AE7FFC-D61F-7FFD-FA7C-9D29C70F51FB}"/>
            </a:ext>
          </a:extLst>
        </xdr:cNvPr>
        <xdr:cNvSpPr/>
      </xdr:nvSpPr>
      <xdr:spPr>
        <a:xfrm>
          <a:off x="7650480" y="137160"/>
          <a:ext cx="2720340" cy="312420"/>
        </a:xfrm>
        <a:prstGeom prst="roundRect">
          <a:avLst>
            <a:gd name="adj" fmla="val 50000"/>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State Wise Growth</a:t>
          </a:r>
        </a:p>
      </xdr:txBody>
    </xdr:sp>
    <xdr:clientData/>
  </xdr:twoCellAnchor>
  <xdr:twoCellAnchor editAs="oneCell">
    <xdr:from>
      <xdr:col>9</xdr:col>
      <xdr:colOff>7620</xdr:colOff>
      <xdr:row>3</xdr:row>
      <xdr:rowOff>1</xdr:rowOff>
    </xdr:from>
    <xdr:to>
      <xdr:col>10</xdr:col>
      <xdr:colOff>1226820</xdr:colOff>
      <xdr:row>8</xdr:row>
      <xdr:rowOff>0</xdr:rowOff>
    </xdr:to>
    <mc:AlternateContent xmlns:mc="http://schemas.openxmlformats.org/markup-compatibility/2006">
      <mc:Choice xmlns:a14="http://schemas.microsoft.com/office/drawing/2010/main" Requires="a14">
        <xdr:graphicFrame macro="">
          <xdr:nvGraphicFramePr>
            <xdr:cNvPr id="4" name="Channel">
              <a:extLst>
                <a:ext uri="{FF2B5EF4-FFF2-40B4-BE49-F238E27FC236}">
                  <a16:creationId xmlns:a16="http://schemas.microsoft.com/office/drawing/2014/main" id="{47B577DD-B0ED-4B2B-E1C8-52A670D3E8BE}"/>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3352800" y="548641"/>
              <a:ext cx="18288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7</xdr:row>
      <xdr:rowOff>175262</xdr:rowOff>
    </xdr:from>
    <xdr:to>
      <xdr:col>10</xdr:col>
      <xdr:colOff>1226820</xdr:colOff>
      <xdr:row>14</xdr:row>
      <xdr:rowOff>22860</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942D09C3-B902-5F4B-4631-DF3A03DC011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3352800" y="1455422"/>
              <a:ext cx="1828800" cy="1127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13</xdr:row>
      <xdr:rowOff>160021</xdr:rowOff>
    </xdr:from>
    <xdr:to>
      <xdr:col>10</xdr:col>
      <xdr:colOff>1226820</xdr:colOff>
      <xdr:row>18</xdr:row>
      <xdr:rowOff>121622</xdr:rowOff>
    </xdr:to>
    <mc:AlternateContent xmlns:mc="http://schemas.openxmlformats.org/markup-compatibility/2006">
      <mc:Choice xmlns:a14="http://schemas.microsoft.com/office/drawing/2010/main" Requires="a14">
        <xdr:graphicFrame macro="">
          <xdr:nvGraphicFramePr>
            <xdr:cNvPr id="6" name="Brand Category">
              <a:extLst>
                <a:ext uri="{FF2B5EF4-FFF2-40B4-BE49-F238E27FC236}">
                  <a16:creationId xmlns:a16="http://schemas.microsoft.com/office/drawing/2014/main" id="{48C11B99-42BE-8733-D958-0F8A9B481EA5}"/>
                </a:ext>
              </a:extLst>
            </xdr:cNvPr>
            <xdr:cNvGraphicFramePr/>
          </xdr:nvGraphicFramePr>
          <xdr:xfrm>
            <a:off x="0" y="0"/>
            <a:ext cx="0" cy="0"/>
          </xdr:xfrm>
          <a:graphic>
            <a:graphicData uri="http://schemas.microsoft.com/office/drawing/2010/slicer">
              <sle:slicer xmlns:sle="http://schemas.microsoft.com/office/drawing/2010/slicer" name="Brand Category"/>
            </a:graphicData>
          </a:graphic>
        </xdr:graphicFrame>
      </mc:Choice>
      <mc:Fallback>
        <xdr:sp macro="" textlink="">
          <xdr:nvSpPr>
            <xdr:cNvPr id="0" name=""/>
            <xdr:cNvSpPr>
              <a:spLocks noTextEdit="1"/>
            </xdr:cNvSpPr>
          </xdr:nvSpPr>
          <xdr:spPr>
            <a:xfrm>
              <a:off x="3352800" y="2537461"/>
              <a:ext cx="1828800" cy="876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18</xdr:row>
      <xdr:rowOff>76201</xdr:rowOff>
    </xdr:from>
    <xdr:to>
      <xdr:col>10</xdr:col>
      <xdr:colOff>1226820</xdr:colOff>
      <xdr:row>24</xdr:row>
      <xdr:rowOff>91440</xdr:rowOff>
    </xdr:to>
    <mc:AlternateContent xmlns:mc="http://schemas.openxmlformats.org/markup-compatibility/2006">
      <mc:Choice xmlns:a14="http://schemas.microsoft.com/office/drawing/2010/main" Requires="a14">
        <xdr:graphicFrame macro="">
          <xdr:nvGraphicFramePr>
            <xdr:cNvPr id="7" name="Sales Type">
              <a:extLst>
                <a:ext uri="{FF2B5EF4-FFF2-40B4-BE49-F238E27FC236}">
                  <a16:creationId xmlns:a16="http://schemas.microsoft.com/office/drawing/2014/main" id="{16B61395-5676-1374-0E34-F532CD7E2C83}"/>
                </a:ext>
              </a:extLst>
            </xdr:cNvPr>
            <xdr:cNvGraphicFramePr/>
          </xdr:nvGraphicFramePr>
          <xdr:xfrm>
            <a:off x="0" y="0"/>
            <a:ext cx="0" cy="0"/>
          </xdr:xfrm>
          <a:graphic>
            <a:graphicData uri="http://schemas.microsoft.com/office/drawing/2010/slicer">
              <sle:slicer xmlns:sle="http://schemas.microsoft.com/office/drawing/2010/slicer" name="Sales Type"/>
            </a:graphicData>
          </a:graphic>
        </xdr:graphicFrame>
      </mc:Choice>
      <mc:Fallback>
        <xdr:sp macro="" textlink="">
          <xdr:nvSpPr>
            <xdr:cNvPr id="0" name=""/>
            <xdr:cNvSpPr>
              <a:spLocks noTextEdit="1"/>
            </xdr:cNvSpPr>
          </xdr:nvSpPr>
          <xdr:spPr>
            <a:xfrm>
              <a:off x="3352800" y="3368041"/>
              <a:ext cx="1828800" cy="1112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1226820</xdr:colOff>
      <xdr:row>11</xdr:row>
      <xdr:rowOff>3810</xdr:rowOff>
    </xdr:from>
    <xdr:to>
      <xdr:col>15</xdr:col>
      <xdr:colOff>7620</xdr:colOff>
      <xdr:row>24</xdr:row>
      <xdr:rowOff>91440</xdr:rowOff>
    </xdr:to>
    <xdr:graphicFrame macro="">
      <xdr:nvGraphicFramePr>
        <xdr:cNvPr id="12" name="Chart 11">
          <a:extLst>
            <a:ext uri="{FF2B5EF4-FFF2-40B4-BE49-F238E27FC236}">
              <a16:creationId xmlns:a16="http://schemas.microsoft.com/office/drawing/2014/main" id="{98E84070-E837-8F39-AD5E-39A916F08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Boruah" refreshedDate="46066.942631944446" backgroundQuery="1" createdVersion="8" refreshedVersion="8" minRefreshableVersion="3" recordCount="0" supportSubquery="1" supportAdvancedDrill="1" xr:uid="{134EF65E-2D52-4A4A-A700-69896CBD79DC}">
  <cacheSource type="external" connectionId="1"/>
  <cacheFields count="4">
    <cacheField name="[Range].[Brand].[Brand]" caption="Brand" numFmtId="0" hierarchy="1" level="1">
      <sharedItems count="15">
        <s v="Brand - 1"/>
        <s v="Brand - 10"/>
        <s v="Brand - 11"/>
        <s v="Brand - 12"/>
        <s v="Brand - 13"/>
        <s v="Brand - 14"/>
        <s v="Brand - 15"/>
        <s v="Brand - 2"/>
        <s v="Brand - 3"/>
        <s v="Brand - 4"/>
        <s v="Brand - 5"/>
        <s v="Brand - 6"/>
        <s v="Brand - 7"/>
        <s v="Brand - 8"/>
        <s v="Brand - 9"/>
      </sharedItems>
    </cacheField>
    <cacheField name="[Measures].[Sum of Sales Value]" caption="Sum of Sales Value" numFmtId="0" hierarchy="12" level="32767"/>
    <cacheField name="[Range].[Year].[Year]" caption="Year" numFmtId="0" hierarchy="4"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Range].[Year].&amp;[2022]"/>
            <x15:cachedUniqueName index="1" name="[Range].[Year].&amp;[2023]"/>
          </x15:cachedUniqueNames>
        </ext>
      </extLst>
    </cacheField>
    <cacheField name="[Range].[Brand Category].[Brand Category]" caption="Brand Category" numFmtId="0" hierarchy="7" level="1">
      <sharedItems containsSemiMixedTypes="0" containsNonDate="0" containsString="0"/>
    </cacheField>
  </cacheFields>
  <cacheHierarchies count="13">
    <cacheHierarchy uniqueName="[Range].[State]" caption="State" attribute="1" defaultMemberUniqueName="[Range].[State].[All]" allUniqueName="[Range].[State].[All]" dimensionUniqueName="[Range]" displayFolder="" count="2"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0"/>
      </fieldsUsage>
    </cacheHierarchy>
    <cacheHierarchy uniqueName="[Range].[Channel]" caption="Channel" attribute="1" defaultMemberUniqueName="[Range].[Channel].[All]" allUniqueName="[Range].[Channel].[All]" dimensionUniqueName="[Range]" displayFolder="" count="2" memberValueDatatype="130" unbalanced="0"/>
    <cacheHierarchy uniqueName="[Range].[Sales Type]" caption="Sales Type" attribute="1" defaultMemberUniqueName="[Range].[Sales Type].[All]" allUniqueName="[Range].[Sales Type].[All]" dimensionUniqueName="[Range]" displayFolder="" count="2"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 caption="Month" attribute="1" defaultMemberUniqueName="[Range].[Month].[All]" allUniqueName="[Range].[Month].[All]" dimensionUniqueName="[Range]" displayFolder="" count="2" memberValueDatatype="130" unbalanced="0"/>
    <cacheHierarchy uniqueName="[Range].[Sales Value]" caption="Sales Value" attribute="1" defaultMemberUniqueName="[Range].[Sales Value].[All]" allUniqueName="[Range].[Sales Value].[All]" dimensionUniqueName="[Range]" displayFolder="" count="2" memberValueDatatype="5" unbalanced="0"/>
    <cacheHierarchy uniqueName="[Range].[Brand Category]" caption="Brand Category" attribute="1" defaultMemberUniqueName="[Range].[Brand Category].[All]" allUniqueName="[Range].[Brand Category].[All]" dimensionUniqueName="[Range]" displayFolder="" count="2" memberValueDatatype="130" unbalanced="0">
      <fieldsUsage count="2">
        <fieldUsage x="-1"/>
        <fieldUsage x="3"/>
      </fieldsUsage>
    </cacheHierarchy>
    <cacheHierarchy uniqueName="[Range].[QTY]" caption="QTY" attribute="1" defaultMemberUniqueName="[Range].[QTY].[All]" allUniqueName="[Range].[QTY].[All]" dimensionUniqueName="[Range]" displayFolder="" count="2" memberValueDatatype="2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Value]" caption="Sum of Sales Value"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Boruah" refreshedDate="46066.942632407408" backgroundQuery="1" createdVersion="8" refreshedVersion="8" minRefreshableVersion="3" recordCount="0" supportSubquery="1" supportAdvancedDrill="1" xr:uid="{81F4B153-01DC-4B68-82FD-1526A86F1BA5}">
  <cacheSource type="external" connectionId="1"/>
  <cacheFields count="4">
    <cacheField name="[Range].[State].[State]" caption="State" numFmtId="0" level="1">
      <sharedItems count="6">
        <s v="Assam"/>
        <s v="Delhi"/>
        <s v="Karnataka"/>
        <s v="Maharashtra"/>
        <s v="Punjab"/>
        <s v="Tamil Nadu"/>
      </sharedItems>
    </cacheField>
    <cacheField name="[Range].[Year].[Year]" caption="Year" numFmtId="0" hierarchy="4"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Range].[Year].&amp;[2022]"/>
            <x15:cachedUniqueName index="1" name="[Range].[Year].&amp;[2023]"/>
          </x15:cachedUniqueNames>
        </ext>
      </extLst>
    </cacheField>
    <cacheField name="[Measures].[Sum of Sales Value]" caption="Sum of Sales Value" numFmtId="0" hierarchy="12" level="32767"/>
    <cacheField name="[Range].[Brand Category].[Brand Category]" caption="Brand Category" numFmtId="0" hierarchy="7" level="1">
      <sharedItems containsSemiMixedTypes="0" containsNonDate="0" containsString="0"/>
    </cacheField>
  </cacheFields>
  <cacheHierarchies count="13">
    <cacheHierarchy uniqueName="[Range].[State]" caption="State" attribute="1" defaultMemberUniqueName="[Range].[State].[All]" allUniqueName="[Range].[State].[All]" dimensionUniqueName="[Range]" displayFolder="" count="2" memberValueDatatype="130" unbalanced="0">
      <fieldsUsage count="2">
        <fieldUsage x="-1"/>
        <fieldUsage x="0"/>
      </fieldsUsage>
    </cacheHierarchy>
    <cacheHierarchy uniqueName="[Range].[Brand]" caption="Brand" attribute="1" defaultMemberUniqueName="[Range].[Brand].[All]" allUniqueName="[Range].[Brand].[All]" dimensionUniqueName="[Range]" displayFolder="" count="0" memberValueDatatype="130" unbalanced="0"/>
    <cacheHierarchy uniqueName="[Range].[Channel]" caption="Channel" attribute="1" defaultMemberUniqueName="[Range].[Channel].[All]" allUniqueName="[Range].[Channel].[All]" dimensionUniqueName="[Range]" displayFolder="" count="2" memberValueDatatype="130" unbalanced="0"/>
    <cacheHierarchy uniqueName="[Range].[Sales Type]" caption="Sales Type" attribute="1" defaultMemberUniqueName="[Range].[Sales Type].[All]" allUniqueName="[Range].[Sales Type].[All]" dimensionUniqueName="[Range]" displayFolder="" count="2"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Month]" caption="Month" attribute="1" defaultMemberUniqueName="[Range].[Month].[All]" allUniqueName="[Range].[Month].[All]" dimensionUniqueName="[Range]" displayFolder="" count="0" memberValueDatatype="130" unbalanced="0"/>
    <cacheHierarchy uniqueName="[Range].[Sales Value]" caption="Sales Value" attribute="1" defaultMemberUniqueName="[Range].[Sales Value].[All]" allUniqueName="[Range].[Sales Value].[All]" dimensionUniqueName="[Range]" displayFolder="" count="0" memberValueDatatype="5" unbalanced="0"/>
    <cacheHierarchy uniqueName="[Range].[Brand Category]" caption="Brand Category" attribute="1" defaultMemberUniqueName="[Range].[Brand Category].[All]" allUniqueName="[Range].[Brand Category].[All]" dimensionUniqueName="[Range]" displayFolder="" count="2" memberValueDatatype="130" unbalanced="0">
      <fieldsUsage count="2">
        <fieldUsage x="-1"/>
        <fieldUsage x="3"/>
      </fieldsUsage>
    </cacheHierarchy>
    <cacheHierarchy uniqueName="[Range].[QTY]" caption="QTY" attribute="1" defaultMemberUniqueName="[Range].[QTY].[All]" allUniqueName="[Range].[QTY].[All]" dimensionUniqueName="[Range]" displayFolder="" count="0" memberValueDatatype="2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Value]" caption="Sum of Sales Value"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Boruah" refreshedDate="46066.935858449076" backgroundQuery="1" createdVersion="3" refreshedVersion="8" minRefreshableVersion="3" recordCount="0" supportSubquery="1" supportAdvancedDrill="1" xr:uid="{2FB7A468-66E3-4500-A7C1-2CBF1CB1F04E}">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Range].[State]" caption="State" attribute="1" defaultMemberUniqueName="[Range].[State].[All]" allUniqueName="[Range].[State].[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Channel]" caption="Channel" attribute="1" defaultMemberUniqueName="[Range].[Channel].[All]" allUniqueName="[Range].[Channel].[All]" dimensionUniqueName="[Range]" displayFolder="" count="2" memberValueDatatype="130" unbalanced="0"/>
    <cacheHierarchy uniqueName="[Range].[Sales Type]" caption="Sales Type" attribute="1" defaultMemberUniqueName="[Range].[Sales Type].[All]" allUniqueName="[Range].[Sales Type].[All]" dimensionUniqueName="[Range]" displayFolder="" count="2" memberValueDatatype="13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Sales Value]" caption="Sales Value" attribute="1" defaultMemberUniqueName="[Range].[Sales Value].[All]" allUniqueName="[Range].[Sales Value].[All]" dimensionUniqueName="[Range]" displayFolder="" count="0" memberValueDatatype="5" unbalanced="0"/>
    <cacheHierarchy uniqueName="[Range].[Brand Category]" caption="Brand Category" attribute="1" defaultMemberUniqueName="[Range].[Brand Category].[All]" allUniqueName="[Range].[Brand Category].[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Value]" caption="Sum of Sales Value" measure="1" displayFolder="" measureGroup="Rang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7867886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2AC69E-7B44-47E4-A82D-AD6892854BF4}" name="PivotTable1" cacheId="20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C19" firstHeaderRow="1" firstDataRow="2"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x v="14"/>
    </i>
  </rowItems>
  <colFields count="1">
    <field x="2"/>
  </colFields>
  <colItems count="2">
    <i>
      <x/>
    </i>
    <i>
      <x v="1"/>
    </i>
  </colItems>
  <dataFields count="1">
    <dataField name="Sum of Sales Value" fld="1" baseField="0" baseItem="0"/>
  </dataFields>
  <formats count="4">
    <format dxfId="133">
      <pivotArea outline="0" collapsedLevelsAreSubtotals="1" fieldPosition="0"/>
    </format>
    <format dxfId="132">
      <pivotArea outline="0" collapsedLevelsAreSubtotals="1" fieldPosition="0"/>
    </format>
    <format dxfId="131">
      <pivotArea outline="0" collapsedLevelsAreSubtotals="1" fieldPosition="0">
        <references count="1">
          <reference field="2" count="1" selected="0">
            <x v="1"/>
          </reference>
        </references>
      </pivotArea>
    </format>
    <format dxfId="130">
      <pivotArea outline="0" collapsedLevelsAreSubtotals="1" fieldPosition="0">
        <references count="1">
          <reference field="2" count="1" selected="0">
            <x v="1"/>
          </reference>
        </references>
      </pivotArea>
    </format>
  </formats>
  <pivotHierarchies count="13">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 (2)!$A$1:$J$4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77ED3-CB55-4110-96A8-38951A34E62A}" name="PivotTable2" cacheId="20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10"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1"/>
  </colFields>
  <colItems count="2">
    <i>
      <x/>
    </i>
    <i>
      <x v="1"/>
    </i>
  </colItems>
  <dataFields count="1">
    <dataField name="Sum of Sales Value" fld="2" baseField="0" baseItem="0"/>
  </dataFields>
  <pivotHierarchies count="13">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 (2)!$A$1:$J$4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2DAA1BF-CA99-44C1-A09D-46C0127C1E23}" sourceName="[Range].[Channel]">
  <pivotTables>
    <pivotTable tabId="3" name="PivotTable1"/>
    <pivotTable tabId="4" name="PivotTable2"/>
  </pivotTables>
  <data>
    <olap pivotCacheId="786788614">
      <levels count="2">
        <level uniqueName="[Range].[Channel].[(All)]" sourceCaption="(All)" count="0"/>
        <level uniqueName="[Range].[Channel].[Channel]" sourceCaption="Channel" count="2">
          <ranges>
            <range startItem="0">
              <i n="[Range].[Channel].&amp;[Rural]" c="Rural"/>
              <i n="[Range].[Channel].&amp;[Urban]" c="Urban"/>
            </range>
          </ranges>
        </level>
      </levels>
      <selections count="1">
        <selection n="[Range].[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77D13FF-835B-4996-BED9-D5C3AAC4C589}" sourceName="[Range].[Product Category]">
  <pivotTables>
    <pivotTable tabId="3" name="PivotTable1"/>
    <pivotTable tabId="4" name="PivotTable2"/>
  </pivotTables>
  <data>
    <olap pivotCacheId="786788614">
      <levels count="2">
        <level uniqueName="[Range].[Product Category].[(All)]" sourceCaption="(All)" count="0"/>
        <level uniqueName="[Range].[Product Category].[Product Category]" sourceCaption="Product Category" count="3">
          <ranges>
            <range startItem="0">
              <i n="[Range].[Product Category].&amp;[Food &amp; Beverage]" c="Food &amp; Beverage"/>
              <i n="[Range].[Product Category].&amp;[Health Care]" c="Health Care"/>
              <i n="[Range].[Product Category].&amp;[Home Care]" c="Home Care"/>
            </range>
          </ranges>
        </level>
      </levels>
      <selections count="1">
        <selection n="[Range].[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Category" xr10:uid="{BE784AA1-D335-4C04-B877-550BDA79821C}" sourceName="[Range].[Brand Category]">
  <pivotTables>
    <pivotTable tabId="3" name="PivotTable1"/>
    <pivotTable tabId="4" name="PivotTable2"/>
  </pivotTables>
  <data>
    <olap pivotCacheId="786788614">
      <levels count="2">
        <level uniqueName="[Range].[Brand Category].[(All)]" sourceCaption="(All)" count="0"/>
        <level uniqueName="[Range].[Brand Category].[Brand Category]" sourceCaption="Brand Category" count="2">
          <ranges>
            <range startItem="0">
              <i n="[Range].[Brand Category].&amp;[Premium]" c="Premium"/>
              <i n="[Range].[Brand Category].&amp;[Regular]" c="Regular"/>
            </range>
          </ranges>
        </level>
      </levels>
      <selections count="1">
        <selection n="[Range].[Brand 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Type" xr10:uid="{91B95C83-D4F4-41D2-A976-B1301F0104F4}" sourceName="[Range].[Sales Type]">
  <pivotTables>
    <pivotTable tabId="3" name="PivotTable1"/>
    <pivotTable tabId="4" name="PivotTable2"/>
  </pivotTables>
  <data>
    <olap pivotCacheId="786788614">
      <levels count="2">
        <level uniqueName="[Range].[Sales Type].[(All)]" sourceCaption="(All)" count="0"/>
        <level uniqueName="[Range].[Sales Type].[Sales Type]" sourceCaption="Sales Type" count="3">
          <ranges>
            <range startItem="0">
              <i n="[Range].[Sales Type].&amp;[Retail]" c="Retail"/>
              <i n="[Range].[Sales Type].&amp;[Super Stockist]" c="Super Stockist"/>
              <i n="[Range].[Sales Type].&amp;[Whole Sale]" c="Whole Sale"/>
            </range>
          </ranges>
        </level>
      </levels>
      <selections count="1">
        <selection n="[Range].[Sales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80792CC4-B0F8-44D7-8297-AD9FD4968243}" cache="Slicer_Channel" caption="Channel" level="1" style="SlicerStyleLight3" rowHeight="216000"/>
  <slicer name="Product Category" xr10:uid="{D7247A70-6BA8-4498-A083-3E92D1417C77}" cache="Slicer_Product_Category" caption="Product Category" level="1" style="SlicerStyleLight3" rowHeight="216000"/>
  <slicer name="Brand Category" xr10:uid="{46DBECBD-2D28-43C6-B070-D0D94445140D}" cache="Slicer_Brand_Category" caption="Brand Category" level="1" style="SlicerStyleLight3" rowHeight="216000"/>
  <slicer name="Sales Type" xr10:uid="{4B7CFB73-7384-47A0-8F93-6F9CA5F1EFB8}" cache="Slicer_Sales_Type" caption="Sales Type" level="1" style="SlicerStyleLight3"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2FF54-210E-43C9-8B72-58B230C54B5D}">
  <sheetPr>
    <tabColor theme="3" tint="0.89999084444715716"/>
  </sheetPr>
  <dimension ref="A1:A47"/>
  <sheetViews>
    <sheetView tabSelected="1" topLeftCell="A13" workbookViewId="0">
      <selection activeCell="A29" sqref="A29"/>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107</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2D907-2C62-4490-B59D-D7A3CBE91CE9}">
  <sheetPr>
    <tabColor theme="5" tint="0.39997558519241921"/>
  </sheetPr>
  <dimension ref="A1:J47"/>
  <sheetViews>
    <sheetView workbookViewId="0">
      <selection activeCell="A17" sqref="A17"/>
    </sheetView>
  </sheetViews>
  <sheetFormatPr defaultRowHeight="14.4" x14ac:dyDescent="0.3"/>
  <cols>
    <col min="1" max="1" width="11.21875" bestFit="1" customWidth="1"/>
    <col min="2" max="2" width="9.109375" bestFit="1" customWidth="1"/>
    <col min="3" max="3" width="7.6640625" bestFit="1" customWidth="1"/>
    <col min="4" max="4" width="12.33203125" bestFit="1" customWidth="1"/>
    <col min="5" max="5" width="5" bestFit="1" customWidth="1"/>
    <col min="6" max="6" width="9.77734375" bestFit="1" customWidth="1"/>
    <col min="7" max="7" width="10.21875" bestFit="1" customWidth="1"/>
    <col min="8" max="8" width="13.33203125" bestFit="1" customWidth="1"/>
    <col min="9" max="9" width="4.21875" bestFit="1" customWidth="1"/>
    <col min="10" max="10" width="14.88671875" bestFit="1" customWidth="1"/>
  </cols>
  <sheetData>
    <row r="1" spans="1:10" x14ac:dyDescent="0.3">
      <c r="A1" s="1" t="s">
        <v>46</v>
      </c>
      <c r="B1" s="1" t="s">
        <v>47</v>
      </c>
      <c r="C1" s="1" t="s">
        <v>48</v>
      </c>
      <c r="D1" s="1" t="s">
        <v>49</v>
      </c>
      <c r="E1" s="1" t="s">
        <v>50</v>
      </c>
      <c r="F1" s="1" t="s">
        <v>51</v>
      </c>
      <c r="G1" s="1" t="s">
        <v>52</v>
      </c>
      <c r="H1" s="1" t="s">
        <v>53</v>
      </c>
      <c r="I1" s="1" t="s">
        <v>54</v>
      </c>
      <c r="J1" s="1" t="s">
        <v>55</v>
      </c>
    </row>
    <row r="2" spans="1:10" x14ac:dyDescent="0.3">
      <c r="A2" s="2" t="s">
        <v>56</v>
      </c>
      <c r="B2" s="2" t="s">
        <v>57</v>
      </c>
      <c r="C2" s="2" t="s">
        <v>58</v>
      </c>
      <c r="D2" s="2" t="s">
        <v>59</v>
      </c>
      <c r="E2" s="2">
        <v>2022</v>
      </c>
      <c r="F2" s="2" t="s">
        <v>60</v>
      </c>
      <c r="G2" s="2">
        <v>1.2</v>
      </c>
      <c r="H2" s="2" t="s">
        <v>61</v>
      </c>
      <c r="I2" s="2">
        <v>12</v>
      </c>
      <c r="J2" s="2" t="s">
        <v>62</v>
      </c>
    </row>
    <row r="3" spans="1:10" x14ac:dyDescent="0.3">
      <c r="A3" s="2" t="s">
        <v>56</v>
      </c>
      <c r="B3" s="2" t="s">
        <v>63</v>
      </c>
      <c r="C3" s="2" t="s">
        <v>58</v>
      </c>
      <c r="D3" s="2" t="s">
        <v>64</v>
      </c>
      <c r="E3" s="2">
        <v>2022</v>
      </c>
      <c r="F3" s="2" t="s">
        <v>65</v>
      </c>
      <c r="G3" s="2">
        <v>1.45</v>
      </c>
      <c r="H3" s="2" t="s">
        <v>66</v>
      </c>
      <c r="I3" s="2">
        <v>15</v>
      </c>
      <c r="J3" s="2" t="s">
        <v>67</v>
      </c>
    </row>
    <row r="4" spans="1:10" x14ac:dyDescent="0.3">
      <c r="A4" s="2" t="s">
        <v>56</v>
      </c>
      <c r="B4" s="2" t="s">
        <v>68</v>
      </c>
      <c r="C4" s="2" t="s">
        <v>69</v>
      </c>
      <c r="D4" s="2" t="s">
        <v>70</v>
      </c>
      <c r="E4" s="2">
        <v>2022</v>
      </c>
      <c r="F4" s="2" t="s">
        <v>71</v>
      </c>
      <c r="G4" s="2">
        <v>1.05</v>
      </c>
      <c r="H4" s="2" t="s">
        <v>61</v>
      </c>
      <c r="I4" s="2">
        <v>10</v>
      </c>
      <c r="J4" s="2" t="s">
        <v>72</v>
      </c>
    </row>
    <row r="5" spans="1:10" x14ac:dyDescent="0.3">
      <c r="A5" s="2" t="s">
        <v>56</v>
      </c>
      <c r="B5" s="2" t="s">
        <v>73</v>
      </c>
      <c r="C5" s="2" t="s">
        <v>58</v>
      </c>
      <c r="D5" s="2" t="s">
        <v>59</v>
      </c>
      <c r="E5" s="2">
        <v>2022</v>
      </c>
      <c r="F5" s="2" t="s">
        <v>74</v>
      </c>
      <c r="G5" s="2">
        <v>1.75</v>
      </c>
      <c r="H5" s="2" t="s">
        <v>66</v>
      </c>
      <c r="I5" s="2">
        <v>18</v>
      </c>
      <c r="J5" s="2" t="s">
        <v>62</v>
      </c>
    </row>
    <row r="6" spans="1:10" x14ac:dyDescent="0.3">
      <c r="A6" s="2" t="s">
        <v>56</v>
      </c>
      <c r="B6" s="2" t="s">
        <v>75</v>
      </c>
      <c r="C6" s="2" t="s">
        <v>69</v>
      </c>
      <c r="D6" s="2" t="s">
        <v>70</v>
      </c>
      <c r="E6" s="2">
        <v>2022</v>
      </c>
      <c r="F6" s="2" t="s">
        <v>76</v>
      </c>
      <c r="G6" s="2">
        <v>1.3</v>
      </c>
      <c r="H6" s="2" t="s">
        <v>61</v>
      </c>
      <c r="I6" s="2">
        <v>13</v>
      </c>
      <c r="J6" s="2" t="s">
        <v>67</v>
      </c>
    </row>
    <row r="7" spans="1:10" x14ac:dyDescent="0.3">
      <c r="A7" s="2" t="s">
        <v>77</v>
      </c>
      <c r="B7" s="2" t="s">
        <v>78</v>
      </c>
      <c r="C7" s="2" t="s">
        <v>58</v>
      </c>
      <c r="D7" s="2" t="s">
        <v>59</v>
      </c>
      <c r="E7" s="2">
        <v>2022</v>
      </c>
      <c r="F7" s="2" t="s">
        <v>79</v>
      </c>
      <c r="G7" s="2">
        <v>2.1</v>
      </c>
      <c r="H7" s="2" t="s">
        <v>61</v>
      </c>
      <c r="I7" s="2">
        <v>22</v>
      </c>
      <c r="J7" s="2" t="s">
        <v>72</v>
      </c>
    </row>
    <row r="8" spans="1:10" x14ac:dyDescent="0.3">
      <c r="A8" s="2" t="s">
        <v>77</v>
      </c>
      <c r="B8" s="2" t="s">
        <v>80</v>
      </c>
      <c r="C8" s="2" t="s">
        <v>58</v>
      </c>
      <c r="D8" s="2" t="s">
        <v>64</v>
      </c>
      <c r="E8" s="2">
        <v>2022</v>
      </c>
      <c r="F8" s="2" t="s">
        <v>81</v>
      </c>
      <c r="G8" s="2">
        <v>2.4500000000000002</v>
      </c>
      <c r="H8" s="2" t="s">
        <v>66</v>
      </c>
      <c r="I8" s="2">
        <v>25</v>
      </c>
      <c r="J8" s="2" t="s">
        <v>62</v>
      </c>
    </row>
    <row r="9" spans="1:10" x14ac:dyDescent="0.3">
      <c r="A9" s="2" t="s">
        <v>77</v>
      </c>
      <c r="B9" s="2" t="s">
        <v>82</v>
      </c>
      <c r="C9" s="2" t="s">
        <v>69</v>
      </c>
      <c r="D9" s="2" t="s">
        <v>70</v>
      </c>
      <c r="E9" s="2">
        <v>2022</v>
      </c>
      <c r="F9" s="2" t="s">
        <v>83</v>
      </c>
      <c r="G9" s="2">
        <v>1.85</v>
      </c>
      <c r="H9" s="2" t="s">
        <v>61</v>
      </c>
      <c r="I9" s="2">
        <v>19</v>
      </c>
      <c r="J9" s="2" t="s">
        <v>67</v>
      </c>
    </row>
    <row r="10" spans="1:10" x14ac:dyDescent="0.3">
      <c r="A10" s="2" t="s">
        <v>77</v>
      </c>
      <c r="B10" s="2" t="s">
        <v>84</v>
      </c>
      <c r="C10" s="2" t="s">
        <v>58</v>
      </c>
      <c r="D10" s="2" t="s">
        <v>59</v>
      </c>
      <c r="E10" s="2">
        <v>2022</v>
      </c>
      <c r="F10" s="2" t="s">
        <v>85</v>
      </c>
      <c r="G10" s="2">
        <v>2.75</v>
      </c>
      <c r="H10" s="2" t="s">
        <v>66</v>
      </c>
      <c r="I10" s="2">
        <v>28</v>
      </c>
      <c r="J10" s="2" t="s">
        <v>72</v>
      </c>
    </row>
    <row r="11" spans="1:10" x14ac:dyDescent="0.3">
      <c r="A11" s="2" t="s">
        <v>77</v>
      </c>
      <c r="B11" s="2" t="s">
        <v>86</v>
      </c>
      <c r="C11" s="2" t="s">
        <v>69</v>
      </c>
      <c r="D11" s="2" t="s">
        <v>70</v>
      </c>
      <c r="E11" s="2">
        <v>2022</v>
      </c>
      <c r="F11" s="2" t="s">
        <v>87</v>
      </c>
      <c r="G11" s="2">
        <v>1.95</v>
      </c>
      <c r="H11" s="2" t="s">
        <v>61</v>
      </c>
      <c r="I11" s="2">
        <v>20</v>
      </c>
      <c r="J11" s="2" t="s">
        <v>62</v>
      </c>
    </row>
    <row r="12" spans="1:10" x14ac:dyDescent="0.3">
      <c r="A12" s="2" t="s">
        <v>88</v>
      </c>
      <c r="B12" s="2" t="s">
        <v>89</v>
      </c>
      <c r="C12" s="2" t="s">
        <v>58</v>
      </c>
      <c r="D12" s="2" t="s">
        <v>59</v>
      </c>
      <c r="E12" s="2">
        <v>2023</v>
      </c>
      <c r="F12" s="2" t="s">
        <v>60</v>
      </c>
      <c r="G12" s="2">
        <v>3.2</v>
      </c>
      <c r="H12" s="2" t="s">
        <v>61</v>
      </c>
      <c r="I12" s="2">
        <v>30</v>
      </c>
      <c r="J12" s="2" t="s">
        <v>62</v>
      </c>
    </row>
    <row r="13" spans="1:10" x14ac:dyDescent="0.3">
      <c r="A13" s="2" t="s">
        <v>88</v>
      </c>
      <c r="B13" s="2" t="s">
        <v>90</v>
      </c>
      <c r="C13" s="2" t="s">
        <v>58</v>
      </c>
      <c r="D13" s="2" t="s">
        <v>64</v>
      </c>
      <c r="E13" s="2">
        <v>2023</v>
      </c>
      <c r="F13" s="2" t="s">
        <v>65</v>
      </c>
      <c r="G13" s="2">
        <v>3.45</v>
      </c>
      <c r="H13" s="2" t="s">
        <v>66</v>
      </c>
      <c r="I13" s="2">
        <v>32</v>
      </c>
      <c r="J13" s="2" t="s">
        <v>72</v>
      </c>
    </row>
    <row r="14" spans="1:10" x14ac:dyDescent="0.3">
      <c r="A14" s="2" t="s">
        <v>88</v>
      </c>
      <c r="B14" s="2" t="s">
        <v>91</v>
      </c>
      <c r="C14" s="2" t="s">
        <v>69</v>
      </c>
      <c r="D14" s="2" t="s">
        <v>70</v>
      </c>
      <c r="E14" s="2">
        <v>2023</v>
      </c>
      <c r="F14" s="2" t="s">
        <v>71</v>
      </c>
      <c r="G14" s="2">
        <v>2.8</v>
      </c>
      <c r="H14" s="2" t="s">
        <v>61</v>
      </c>
      <c r="I14" s="2">
        <v>27</v>
      </c>
      <c r="J14" s="2" t="s">
        <v>67</v>
      </c>
    </row>
    <row r="15" spans="1:10" x14ac:dyDescent="0.3">
      <c r="A15" s="2" t="s">
        <v>88</v>
      </c>
      <c r="B15" s="2" t="s">
        <v>92</v>
      </c>
      <c r="C15" s="2" t="s">
        <v>58</v>
      </c>
      <c r="D15" s="2" t="s">
        <v>59</v>
      </c>
      <c r="E15" s="2">
        <v>2023</v>
      </c>
      <c r="F15" s="2" t="s">
        <v>74</v>
      </c>
      <c r="G15" s="2">
        <v>3.95</v>
      </c>
      <c r="H15" s="2" t="s">
        <v>66</v>
      </c>
      <c r="I15" s="2">
        <v>35</v>
      </c>
      <c r="J15" s="2" t="s">
        <v>62</v>
      </c>
    </row>
    <row r="16" spans="1:10" x14ac:dyDescent="0.3">
      <c r="A16" s="2" t="s">
        <v>88</v>
      </c>
      <c r="B16" s="2" t="s">
        <v>93</v>
      </c>
      <c r="C16" s="2" t="s">
        <v>69</v>
      </c>
      <c r="D16" s="2" t="s">
        <v>70</v>
      </c>
      <c r="E16" s="2">
        <v>2023</v>
      </c>
      <c r="F16" s="2" t="s">
        <v>76</v>
      </c>
      <c r="G16" s="2">
        <v>2.75</v>
      </c>
      <c r="H16" s="2" t="s">
        <v>61</v>
      </c>
      <c r="I16" s="2">
        <v>25</v>
      </c>
      <c r="J16" s="2" t="s">
        <v>72</v>
      </c>
    </row>
    <row r="17" spans="1:10" x14ac:dyDescent="0.3">
      <c r="A17" s="2" t="s">
        <v>94</v>
      </c>
      <c r="B17" s="2" t="s">
        <v>57</v>
      </c>
      <c r="C17" s="2" t="s">
        <v>58</v>
      </c>
      <c r="D17" s="2" t="s">
        <v>59</v>
      </c>
      <c r="E17" s="2">
        <v>2023</v>
      </c>
      <c r="F17" s="2" t="s">
        <v>79</v>
      </c>
      <c r="G17" s="2">
        <v>2.5</v>
      </c>
      <c r="H17" s="2" t="s">
        <v>61</v>
      </c>
      <c r="I17" s="2">
        <v>24</v>
      </c>
      <c r="J17" s="2" t="s">
        <v>67</v>
      </c>
    </row>
    <row r="18" spans="1:10" x14ac:dyDescent="0.3">
      <c r="A18" s="2" t="s">
        <v>94</v>
      </c>
      <c r="B18" s="2" t="s">
        <v>63</v>
      </c>
      <c r="C18" s="2" t="s">
        <v>58</v>
      </c>
      <c r="D18" s="2" t="s">
        <v>64</v>
      </c>
      <c r="E18" s="2">
        <v>2023</v>
      </c>
      <c r="F18" s="2" t="s">
        <v>81</v>
      </c>
      <c r="G18" s="2">
        <v>2.95</v>
      </c>
      <c r="H18" s="2" t="s">
        <v>66</v>
      </c>
      <c r="I18" s="2">
        <v>29</v>
      </c>
      <c r="J18" s="2" t="s">
        <v>62</v>
      </c>
    </row>
    <row r="19" spans="1:10" x14ac:dyDescent="0.3">
      <c r="A19" s="2" t="s">
        <v>94</v>
      </c>
      <c r="B19" s="2" t="s">
        <v>68</v>
      </c>
      <c r="C19" s="2" t="s">
        <v>69</v>
      </c>
      <c r="D19" s="2" t="s">
        <v>70</v>
      </c>
      <c r="E19" s="2">
        <v>2023</v>
      </c>
      <c r="F19" s="2" t="s">
        <v>83</v>
      </c>
      <c r="G19" s="2">
        <v>2.1</v>
      </c>
      <c r="H19" s="2" t="s">
        <v>61</v>
      </c>
      <c r="I19" s="2">
        <v>21</v>
      </c>
      <c r="J19" s="2" t="s">
        <v>72</v>
      </c>
    </row>
    <row r="20" spans="1:10" x14ac:dyDescent="0.3">
      <c r="A20" s="2" t="s">
        <v>94</v>
      </c>
      <c r="B20" s="2" t="s">
        <v>73</v>
      </c>
      <c r="C20" s="2" t="s">
        <v>58</v>
      </c>
      <c r="D20" s="2" t="s">
        <v>59</v>
      </c>
      <c r="E20" s="2">
        <v>2023</v>
      </c>
      <c r="F20" s="2" t="s">
        <v>85</v>
      </c>
      <c r="G20" s="2">
        <v>3.6</v>
      </c>
      <c r="H20" s="2" t="s">
        <v>66</v>
      </c>
      <c r="I20" s="2">
        <v>33</v>
      </c>
      <c r="J20" s="2" t="s">
        <v>67</v>
      </c>
    </row>
    <row r="21" spans="1:10" x14ac:dyDescent="0.3">
      <c r="A21" s="2" t="s">
        <v>94</v>
      </c>
      <c r="B21" s="2" t="s">
        <v>75</v>
      </c>
      <c r="C21" s="2" t="s">
        <v>69</v>
      </c>
      <c r="D21" s="2" t="s">
        <v>70</v>
      </c>
      <c r="E21" s="2">
        <v>2023</v>
      </c>
      <c r="F21" s="2" t="s">
        <v>87</v>
      </c>
      <c r="G21" s="2">
        <v>2.4</v>
      </c>
      <c r="H21" s="2" t="s">
        <v>61</v>
      </c>
      <c r="I21" s="2">
        <v>22</v>
      </c>
      <c r="J21" s="2" t="s">
        <v>62</v>
      </c>
    </row>
    <row r="22" spans="1:10" x14ac:dyDescent="0.3">
      <c r="A22" s="2" t="s">
        <v>95</v>
      </c>
      <c r="B22" s="2" t="s">
        <v>78</v>
      </c>
      <c r="C22" s="2" t="s">
        <v>58</v>
      </c>
      <c r="D22" s="2" t="s">
        <v>59</v>
      </c>
      <c r="E22" s="2">
        <v>2023</v>
      </c>
      <c r="F22" s="2" t="s">
        <v>96</v>
      </c>
      <c r="G22" s="2">
        <v>4.0999999999999996</v>
      </c>
      <c r="H22" s="2" t="s">
        <v>61</v>
      </c>
      <c r="I22" s="2">
        <v>40</v>
      </c>
      <c r="J22" s="2" t="s">
        <v>72</v>
      </c>
    </row>
    <row r="23" spans="1:10" x14ac:dyDescent="0.3">
      <c r="A23" s="2" t="s">
        <v>95</v>
      </c>
      <c r="B23" s="2" t="s">
        <v>80</v>
      </c>
      <c r="C23" s="2" t="s">
        <v>58</v>
      </c>
      <c r="D23" s="2" t="s">
        <v>64</v>
      </c>
      <c r="E23" s="2">
        <v>2023</v>
      </c>
      <c r="F23" s="2" t="s">
        <v>97</v>
      </c>
      <c r="G23" s="2">
        <v>4.45</v>
      </c>
      <c r="H23" s="2" t="s">
        <v>66</v>
      </c>
      <c r="I23" s="2">
        <v>43</v>
      </c>
      <c r="J23" s="2" t="s">
        <v>62</v>
      </c>
    </row>
    <row r="24" spans="1:10" x14ac:dyDescent="0.3">
      <c r="A24" s="2" t="s">
        <v>95</v>
      </c>
      <c r="B24" s="2" t="s">
        <v>82</v>
      </c>
      <c r="C24" s="2" t="s">
        <v>69</v>
      </c>
      <c r="D24" s="2" t="s">
        <v>70</v>
      </c>
      <c r="E24" s="2">
        <v>2024</v>
      </c>
      <c r="F24" s="2" t="s">
        <v>60</v>
      </c>
      <c r="G24" s="2">
        <v>3.75</v>
      </c>
      <c r="H24" s="2" t="s">
        <v>61</v>
      </c>
      <c r="I24" s="2">
        <v>36</v>
      </c>
      <c r="J24" s="2" t="s">
        <v>67</v>
      </c>
    </row>
    <row r="25" spans="1:10" x14ac:dyDescent="0.3">
      <c r="A25" s="2" t="s">
        <v>95</v>
      </c>
      <c r="B25" s="2" t="s">
        <v>84</v>
      </c>
      <c r="C25" s="2" t="s">
        <v>58</v>
      </c>
      <c r="D25" s="2" t="s">
        <v>59</v>
      </c>
      <c r="E25" s="2">
        <v>2024</v>
      </c>
      <c r="F25" s="2" t="s">
        <v>65</v>
      </c>
      <c r="G25" s="2">
        <v>4.8</v>
      </c>
      <c r="H25" s="2" t="s">
        <v>66</v>
      </c>
      <c r="I25" s="2">
        <v>46</v>
      </c>
      <c r="J25" s="2" t="s">
        <v>72</v>
      </c>
    </row>
    <row r="26" spans="1:10" x14ac:dyDescent="0.3">
      <c r="A26" s="2" t="s">
        <v>95</v>
      </c>
      <c r="B26" s="2" t="s">
        <v>86</v>
      </c>
      <c r="C26" s="2" t="s">
        <v>69</v>
      </c>
      <c r="D26" s="2" t="s">
        <v>70</v>
      </c>
      <c r="E26" s="2">
        <v>2024</v>
      </c>
      <c r="F26" s="2" t="s">
        <v>71</v>
      </c>
      <c r="G26" s="2">
        <v>3.6</v>
      </c>
      <c r="H26" s="2" t="s">
        <v>61</v>
      </c>
      <c r="I26" s="2">
        <v>34</v>
      </c>
      <c r="J26" s="2" t="s">
        <v>62</v>
      </c>
    </row>
    <row r="27" spans="1:10" x14ac:dyDescent="0.3">
      <c r="A27" s="2" t="s">
        <v>98</v>
      </c>
      <c r="B27" s="2" t="s">
        <v>89</v>
      </c>
      <c r="C27" s="2" t="s">
        <v>58</v>
      </c>
      <c r="D27" s="2" t="s">
        <v>59</v>
      </c>
      <c r="E27" s="2">
        <v>2024</v>
      </c>
      <c r="F27" s="2" t="s">
        <v>74</v>
      </c>
      <c r="G27" s="2">
        <v>2.2000000000000002</v>
      </c>
      <c r="H27" s="2" t="s">
        <v>61</v>
      </c>
      <c r="I27" s="2">
        <v>18</v>
      </c>
      <c r="J27" s="2" t="s">
        <v>67</v>
      </c>
    </row>
    <row r="28" spans="1:10" x14ac:dyDescent="0.3">
      <c r="A28" s="2" t="s">
        <v>98</v>
      </c>
      <c r="B28" s="2" t="s">
        <v>90</v>
      </c>
      <c r="C28" s="2" t="s">
        <v>58</v>
      </c>
      <c r="D28" s="2" t="s">
        <v>64</v>
      </c>
      <c r="E28" s="2">
        <v>2022</v>
      </c>
      <c r="F28" s="2" t="s">
        <v>76</v>
      </c>
      <c r="G28" s="2">
        <v>2.5499999999999998</v>
      </c>
      <c r="H28" s="2" t="s">
        <v>66</v>
      </c>
      <c r="I28" s="2">
        <v>22</v>
      </c>
      <c r="J28" s="2" t="s">
        <v>72</v>
      </c>
    </row>
    <row r="29" spans="1:10" x14ac:dyDescent="0.3">
      <c r="A29" s="2" t="s">
        <v>98</v>
      </c>
      <c r="B29" s="2" t="s">
        <v>91</v>
      </c>
      <c r="C29" s="2" t="s">
        <v>69</v>
      </c>
      <c r="D29" s="2" t="s">
        <v>70</v>
      </c>
      <c r="E29" s="2">
        <v>2024</v>
      </c>
      <c r="F29" s="2" t="s">
        <v>79</v>
      </c>
      <c r="G29" s="2">
        <v>1.95</v>
      </c>
      <c r="H29" s="2" t="s">
        <v>61</v>
      </c>
      <c r="I29" s="2">
        <v>16</v>
      </c>
      <c r="J29" s="2" t="s">
        <v>62</v>
      </c>
    </row>
    <row r="30" spans="1:10" x14ac:dyDescent="0.3">
      <c r="A30" s="2" t="s">
        <v>98</v>
      </c>
      <c r="B30" s="2" t="s">
        <v>92</v>
      </c>
      <c r="C30" s="2" t="s">
        <v>58</v>
      </c>
      <c r="D30" s="2" t="s">
        <v>59</v>
      </c>
      <c r="E30" s="2">
        <v>2024</v>
      </c>
      <c r="F30" s="2" t="s">
        <v>81</v>
      </c>
      <c r="G30" s="2">
        <v>2.85</v>
      </c>
      <c r="H30" s="2" t="s">
        <v>66</v>
      </c>
      <c r="I30" s="2">
        <v>24</v>
      </c>
      <c r="J30" s="2" t="s">
        <v>67</v>
      </c>
    </row>
    <row r="31" spans="1:10" x14ac:dyDescent="0.3">
      <c r="A31" s="2" t="s">
        <v>98</v>
      </c>
      <c r="B31" s="2" t="s">
        <v>93</v>
      </c>
      <c r="C31" s="2" t="s">
        <v>69</v>
      </c>
      <c r="D31" s="2" t="s">
        <v>70</v>
      </c>
      <c r="E31" s="2">
        <v>2024</v>
      </c>
      <c r="F31" s="2" t="s">
        <v>83</v>
      </c>
      <c r="G31" s="2">
        <v>1.75</v>
      </c>
      <c r="H31" s="2" t="s">
        <v>61</v>
      </c>
      <c r="I31" s="2">
        <v>14</v>
      </c>
      <c r="J31" s="2" t="s">
        <v>72</v>
      </c>
    </row>
    <row r="32" spans="1:10" x14ac:dyDescent="0.3">
      <c r="A32" s="2" t="s">
        <v>99</v>
      </c>
      <c r="B32" s="2" t="s">
        <v>57</v>
      </c>
      <c r="C32" s="2" t="s">
        <v>58</v>
      </c>
      <c r="D32" s="2" t="s">
        <v>59</v>
      </c>
      <c r="E32" s="2">
        <v>2024</v>
      </c>
      <c r="F32" s="2" t="s">
        <v>85</v>
      </c>
      <c r="G32" s="2">
        <v>5.0999999999999996</v>
      </c>
      <c r="H32" s="2" t="s">
        <v>61</v>
      </c>
      <c r="I32" s="2">
        <v>50</v>
      </c>
      <c r="J32" s="2" t="s">
        <v>62</v>
      </c>
    </row>
    <row r="33" spans="1:10" x14ac:dyDescent="0.3">
      <c r="A33" s="2" t="s">
        <v>99</v>
      </c>
      <c r="B33" s="2" t="s">
        <v>63</v>
      </c>
      <c r="C33" s="2" t="s">
        <v>58</v>
      </c>
      <c r="D33" s="2" t="s">
        <v>64</v>
      </c>
      <c r="E33" s="2">
        <v>2024</v>
      </c>
      <c r="F33" s="2" t="s">
        <v>87</v>
      </c>
      <c r="G33" s="2">
        <v>5.45</v>
      </c>
      <c r="H33" s="2" t="s">
        <v>66</v>
      </c>
      <c r="I33" s="2">
        <v>52</v>
      </c>
      <c r="J33" s="2" t="s">
        <v>72</v>
      </c>
    </row>
    <row r="34" spans="1:10" x14ac:dyDescent="0.3">
      <c r="A34" s="2" t="s">
        <v>99</v>
      </c>
      <c r="B34" s="2" t="s">
        <v>68</v>
      </c>
      <c r="C34" s="2" t="s">
        <v>69</v>
      </c>
      <c r="D34" s="2" t="s">
        <v>70</v>
      </c>
      <c r="E34" s="2">
        <v>2024</v>
      </c>
      <c r="F34" s="2" t="s">
        <v>96</v>
      </c>
      <c r="G34" s="2">
        <v>4.8</v>
      </c>
      <c r="H34" s="2" t="s">
        <v>61</v>
      </c>
      <c r="I34" s="2">
        <v>47</v>
      </c>
      <c r="J34" s="2" t="s">
        <v>67</v>
      </c>
    </row>
    <row r="35" spans="1:10" x14ac:dyDescent="0.3">
      <c r="A35" s="2" t="s">
        <v>99</v>
      </c>
      <c r="B35" s="2" t="s">
        <v>73</v>
      </c>
      <c r="C35" s="2" t="s">
        <v>58</v>
      </c>
      <c r="D35" s="2" t="s">
        <v>59</v>
      </c>
      <c r="E35" s="2">
        <v>2024</v>
      </c>
      <c r="F35" s="2" t="s">
        <v>97</v>
      </c>
      <c r="G35" s="2">
        <v>5.95</v>
      </c>
      <c r="H35" s="2" t="s">
        <v>66</v>
      </c>
      <c r="I35" s="2">
        <v>58</v>
      </c>
      <c r="J35" s="2" t="s">
        <v>62</v>
      </c>
    </row>
    <row r="36" spans="1:10" x14ac:dyDescent="0.3">
      <c r="A36" s="2" t="s">
        <v>99</v>
      </c>
      <c r="B36" s="2" t="s">
        <v>75</v>
      </c>
      <c r="C36" s="2" t="s">
        <v>69</v>
      </c>
      <c r="D36" s="2" t="s">
        <v>70</v>
      </c>
      <c r="E36" s="2">
        <v>2024</v>
      </c>
      <c r="F36" s="2" t="s">
        <v>60</v>
      </c>
      <c r="G36" s="2">
        <v>4.5999999999999996</v>
      </c>
      <c r="H36" s="2" t="s">
        <v>61</v>
      </c>
      <c r="I36" s="2">
        <v>44</v>
      </c>
      <c r="J36" s="2" t="s">
        <v>72</v>
      </c>
    </row>
    <row r="37" spans="1:10" x14ac:dyDescent="0.3">
      <c r="A37" s="2" t="s">
        <v>100</v>
      </c>
      <c r="B37" s="2" t="s">
        <v>78</v>
      </c>
      <c r="C37" s="2" t="s">
        <v>58</v>
      </c>
      <c r="D37" s="2" t="s">
        <v>59</v>
      </c>
      <c r="E37" s="2">
        <v>2024</v>
      </c>
      <c r="F37" s="2" t="s">
        <v>65</v>
      </c>
      <c r="G37" s="2">
        <v>3.4</v>
      </c>
      <c r="H37" s="2" t="s">
        <v>61</v>
      </c>
      <c r="I37" s="2">
        <v>30</v>
      </c>
      <c r="J37" s="2" t="s">
        <v>67</v>
      </c>
    </row>
    <row r="38" spans="1:10" x14ac:dyDescent="0.3">
      <c r="A38" s="2" t="s">
        <v>100</v>
      </c>
      <c r="B38" s="2" t="s">
        <v>80</v>
      </c>
      <c r="C38" s="2" t="s">
        <v>58</v>
      </c>
      <c r="D38" s="2" t="s">
        <v>64</v>
      </c>
      <c r="E38" s="2">
        <v>2024</v>
      </c>
      <c r="F38" s="2" t="s">
        <v>71</v>
      </c>
      <c r="G38" s="2">
        <v>3.75</v>
      </c>
      <c r="H38" s="2" t="s">
        <v>66</v>
      </c>
      <c r="I38" s="2">
        <v>33</v>
      </c>
      <c r="J38" s="2" t="s">
        <v>62</v>
      </c>
    </row>
    <row r="39" spans="1:10" x14ac:dyDescent="0.3">
      <c r="A39" s="2" t="s">
        <v>100</v>
      </c>
      <c r="B39" s="2" t="s">
        <v>82</v>
      </c>
      <c r="C39" s="2" t="s">
        <v>69</v>
      </c>
      <c r="D39" s="2" t="s">
        <v>70</v>
      </c>
      <c r="E39" s="2">
        <v>2024</v>
      </c>
      <c r="F39" s="2" t="s">
        <v>74</v>
      </c>
      <c r="G39" s="2">
        <v>3.1</v>
      </c>
      <c r="H39" s="2" t="s">
        <v>61</v>
      </c>
      <c r="I39" s="2">
        <v>28</v>
      </c>
      <c r="J39" s="2" t="s">
        <v>72</v>
      </c>
    </row>
    <row r="40" spans="1:10" x14ac:dyDescent="0.3">
      <c r="A40" s="2" t="s">
        <v>100</v>
      </c>
      <c r="B40" s="2" t="s">
        <v>84</v>
      </c>
      <c r="C40" s="2" t="s">
        <v>58</v>
      </c>
      <c r="D40" s="2" t="s">
        <v>59</v>
      </c>
      <c r="E40" s="2">
        <v>2024</v>
      </c>
      <c r="F40" s="2" t="s">
        <v>76</v>
      </c>
      <c r="G40" s="2">
        <v>4.2</v>
      </c>
      <c r="H40" s="2" t="s">
        <v>66</v>
      </c>
      <c r="I40" s="2">
        <v>36</v>
      </c>
      <c r="J40" s="2" t="s">
        <v>67</v>
      </c>
    </row>
    <row r="41" spans="1:10" x14ac:dyDescent="0.3">
      <c r="A41" s="2" t="s">
        <v>100</v>
      </c>
      <c r="B41" s="2" t="s">
        <v>86</v>
      </c>
      <c r="C41" s="2" t="s">
        <v>69</v>
      </c>
      <c r="D41" s="2" t="s">
        <v>70</v>
      </c>
      <c r="E41" s="2">
        <v>2024</v>
      </c>
      <c r="F41" s="2" t="s">
        <v>79</v>
      </c>
      <c r="G41" s="2">
        <v>3</v>
      </c>
      <c r="H41" s="2" t="s">
        <v>61</v>
      </c>
      <c r="I41" s="2">
        <v>26</v>
      </c>
      <c r="J41" s="2" t="s">
        <v>62</v>
      </c>
    </row>
    <row r="42" spans="1:10" x14ac:dyDescent="0.3">
      <c r="A42" s="2" t="s">
        <v>101</v>
      </c>
      <c r="B42" s="2" t="s">
        <v>89</v>
      </c>
      <c r="C42" s="2" t="s">
        <v>58</v>
      </c>
      <c r="D42" s="2" t="s">
        <v>59</v>
      </c>
      <c r="E42" s="2">
        <v>2024</v>
      </c>
      <c r="F42" s="2" t="s">
        <v>81</v>
      </c>
      <c r="G42" s="2">
        <v>2.9</v>
      </c>
      <c r="H42" s="2" t="s">
        <v>61</v>
      </c>
      <c r="I42" s="2">
        <v>25</v>
      </c>
      <c r="J42" s="2" t="s">
        <v>72</v>
      </c>
    </row>
    <row r="43" spans="1:10" x14ac:dyDescent="0.3">
      <c r="A43" s="2" t="s">
        <v>101</v>
      </c>
      <c r="B43" s="2" t="s">
        <v>90</v>
      </c>
      <c r="C43" s="2" t="s">
        <v>58</v>
      </c>
      <c r="D43" s="2" t="s">
        <v>64</v>
      </c>
      <c r="E43" s="2">
        <v>2024</v>
      </c>
      <c r="F43" s="2" t="s">
        <v>83</v>
      </c>
      <c r="G43" s="2">
        <v>3.2</v>
      </c>
      <c r="H43" s="2" t="s">
        <v>66</v>
      </c>
      <c r="I43" s="2">
        <v>29</v>
      </c>
      <c r="J43" s="2" t="s">
        <v>62</v>
      </c>
    </row>
    <row r="44" spans="1:10" x14ac:dyDescent="0.3">
      <c r="A44" s="2" t="s">
        <v>101</v>
      </c>
      <c r="B44" s="2" t="s">
        <v>91</v>
      </c>
      <c r="C44" s="2" t="s">
        <v>69</v>
      </c>
      <c r="D44" s="2" t="s">
        <v>70</v>
      </c>
      <c r="E44" s="2">
        <v>2024</v>
      </c>
      <c r="F44" s="2" t="s">
        <v>85</v>
      </c>
      <c r="G44" s="2">
        <v>2.6</v>
      </c>
      <c r="H44" s="2" t="s">
        <v>61</v>
      </c>
      <c r="I44" s="2">
        <v>23</v>
      </c>
      <c r="J44" s="2" t="s">
        <v>67</v>
      </c>
    </row>
    <row r="45" spans="1:10" x14ac:dyDescent="0.3">
      <c r="A45" s="2" t="s">
        <v>101</v>
      </c>
      <c r="B45" s="2" t="s">
        <v>92</v>
      </c>
      <c r="C45" s="2" t="s">
        <v>58</v>
      </c>
      <c r="D45" s="2" t="s">
        <v>59</v>
      </c>
      <c r="E45" s="2">
        <v>2024</v>
      </c>
      <c r="F45" s="2" t="s">
        <v>87</v>
      </c>
      <c r="G45" s="2">
        <v>3.75</v>
      </c>
      <c r="H45" s="2" t="s">
        <v>66</v>
      </c>
      <c r="I45" s="2">
        <v>31</v>
      </c>
      <c r="J45" s="2" t="s">
        <v>72</v>
      </c>
    </row>
    <row r="46" spans="1:10" x14ac:dyDescent="0.3">
      <c r="A46" s="2" t="s">
        <v>101</v>
      </c>
      <c r="B46" s="2" t="s">
        <v>93</v>
      </c>
      <c r="C46" s="2" t="s">
        <v>69</v>
      </c>
      <c r="D46" s="2" t="s">
        <v>70</v>
      </c>
      <c r="E46" s="2">
        <v>2024</v>
      </c>
      <c r="F46" s="2" t="s">
        <v>96</v>
      </c>
      <c r="G46" s="2">
        <v>2.4500000000000002</v>
      </c>
      <c r="H46" s="2" t="s">
        <v>61</v>
      </c>
      <c r="I46" s="2">
        <v>21</v>
      </c>
      <c r="J46" s="2" t="s">
        <v>62</v>
      </c>
    </row>
    <row r="47" spans="1:10" x14ac:dyDescent="0.3">
      <c r="A47" s="2" t="s">
        <v>102</v>
      </c>
      <c r="B47" s="2" t="s">
        <v>57</v>
      </c>
      <c r="C47" s="2" t="s">
        <v>58</v>
      </c>
      <c r="D47" s="2" t="s">
        <v>59</v>
      </c>
      <c r="E47" s="2">
        <v>2024</v>
      </c>
      <c r="F47" s="2" t="s">
        <v>97</v>
      </c>
      <c r="G47" s="2">
        <v>3.1</v>
      </c>
      <c r="H47" s="2" t="s">
        <v>61</v>
      </c>
      <c r="I47" s="2">
        <v>27</v>
      </c>
      <c r="J47" s="2"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EC819-2E41-4279-94DC-E0AF531EFF8E}">
  <sheetPr>
    <tabColor theme="6" tint="0.39997558519241921"/>
  </sheetPr>
  <dimension ref="A3:O20"/>
  <sheetViews>
    <sheetView showGridLines="0" topLeftCell="D1" workbookViewId="0">
      <selection activeCell="R23" sqref="R23"/>
    </sheetView>
  </sheetViews>
  <sheetFormatPr defaultRowHeight="14.4" x14ac:dyDescent="0.3"/>
  <cols>
    <col min="1" max="1" width="16.6640625" hidden="1" customWidth="1"/>
    <col min="2" max="2" width="15.5546875" hidden="1" customWidth="1"/>
    <col min="3" max="3" width="5" hidden="1" customWidth="1"/>
    <col min="4" max="4" width="2.6640625" customWidth="1"/>
    <col min="5" max="5" width="5" hidden="1" customWidth="1"/>
    <col min="6" max="6" width="12.21875" customWidth="1"/>
    <col min="7" max="7" width="11" customWidth="1"/>
    <col min="8" max="8" width="12" customWidth="1"/>
    <col min="9" max="9" width="10.88671875" customWidth="1"/>
    <col min="11" max="11" width="18" customWidth="1"/>
    <col min="12" max="12" width="11.21875" bestFit="1" customWidth="1"/>
    <col min="13" max="13" width="10.109375" customWidth="1"/>
    <col min="14" max="14" width="9.88671875" customWidth="1"/>
  </cols>
  <sheetData>
    <row r="3" spans="1:15" x14ac:dyDescent="0.3">
      <c r="A3" s="3" t="s">
        <v>104</v>
      </c>
      <c r="B3" s="3" t="s">
        <v>105</v>
      </c>
    </row>
    <row r="4" spans="1:15" x14ac:dyDescent="0.3">
      <c r="A4" s="3" t="s">
        <v>103</v>
      </c>
      <c r="B4">
        <v>2022</v>
      </c>
      <c r="C4">
        <v>2023</v>
      </c>
      <c r="F4" s="8" t="s">
        <v>47</v>
      </c>
      <c r="G4" s="8">
        <v>2022</v>
      </c>
      <c r="H4" s="8">
        <v>2023</v>
      </c>
      <c r="I4" s="8" t="s">
        <v>106</v>
      </c>
      <c r="L4" s="8" t="s">
        <v>46</v>
      </c>
      <c r="M4" s="8">
        <v>2022</v>
      </c>
      <c r="N4" s="8">
        <v>2023</v>
      </c>
      <c r="O4" s="8" t="s">
        <v>106</v>
      </c>
    </row>
    <row r="5" spans="1:15" x14ac:dyDescent="0.3">
      <c r="A5" s="4" t="s">
        <v>57</v>
      </c>
      <c r="B5" s="6">
        <v>1.2</v>
      </c>
      <c r="C5" s="6">
        <v>2.5</v>
      </c>
      <c r="F5" s="7" t="str">
        <f>A5</f>
        <v>Brand - 1</v>
      </c>
      <c r="G5" s="9">
        <f t="shared" ref="G5:H5" si="0">B5</f>
        <v>1.2</v>
      </c>
      <c r="H5" s="9">
        <f t="shared" si="0"/>
        <v>2.5</v>
      </c>
      <c r="I5" s="10">
        <f>IFERROR(H5/G5-1,"")</f>
        <v>1.0833333333333335</v>
      </c>
      <c r="L5" s="7" t="str">
        <f>'Pivot Table'!A5</f>
        <v>Assam</v>
      </c>
      <c r="M5" s="14">
        <f>'Pivot Table'!B5</f>
        <v>2.5499999999999998</v>
      </c>
      <c r="N5" s="14">
        <f>'Pivot Table'!C5</f>
        <v>0</v>
      </c>
      <c r="O5" s="10">
        <f>IFERROR(N5/M5-1,"")</f>
        <v>-1</v>
      </c>
    </row>
    <row r="6" spans="1:15" x14ac:dyDescent="0.3">
      <c r="A6" s="4" t="s">
        <v>86</v>
      </c>
      <c r="B6" s="6">
        <v>1.95</v>
      </c>
      <c r="C6" s="6"/>
      <c r="F6" s="7" t="str">
        <f t="shared" ref="F6:F19" si="1">A6</f>
        <v>Brand - 10</v>
      </c>
      <c r="G6" s="9">
        <f t="shared" ref="G6:G19" si="2">B6</f>
        <v>1.95</v>
      </c>
      <c r="H6" s="9">
        <f t="shared" ref="H6:H19" si="3">C6</f>
        <v>0</v>
      </c>
      <c r="I6" s="10">
        <f t="shared" ref="I6:I19" si="4">IFERROR(H6/G6-1,"")</f>
        <v>-1</v>
      </c>
      <c r="L6" s="7" t="str">
        <f>'Pivot Table'!A6</f>
        <v>Delhi</v>
      </c>
      <c r="M6" s="14">
        <f>'Pivot Table'!B6</f>
        <v>11.1</v>
      </c>
      <c r="N6" s="14">
        <f>'Pivot Table'!C6</f>
        <v>0</v>
      </c>
      <c r="O6" s="10">
        <f t="shared" ref="O6:O11" si="5">IFERROR(N6/M6-1,"")</f>
        <v>-1</v>
      </c>
    </row>
    <row r="7" spans="1:15" x14ac:dyDescent="0.3">
      <c r="A7" s="4" t="s">
        <v>89</v>
      </c>
      <c r="B7" s="6"/>
      <c r="C7" s="6">
        <v>3.2</v>
      </c>
      <c r="F7" s="7" t="str">
        <f t="shared" si="1"/>
        <v>Brand - 11</v>
      </c>
      <c r="G7" s="9">
        <f t="shared" si="2"/>
        <v>0</v>
      </c>
      <c r="H7" s="9">
        <f t="shared" si="3"/>
        <v>3.2</v>
      </c>
      <c r="I7" s="10" t="str">
        <f t="shared" si="4"/>
        <v/>
      </c>
      <c r="L7" s="7" t="str">
        <f>'Pivot Table'!A7</f>
        <v>Karnataka</v>
      </c>
      <c r="M7" s="14">
        <f>'Pivot Table'!B7</f>
        <v>0</v>
      </c>
      <c r="N7" s="14">
        <f>'Pivot Table'!C7</f>
        <v>13.55</v>
      </c>
      <c r="O7" s="10" t="str">
        <f t="shared" si="5"/>
        <v/>
      </c>
    </row>
    <row r="8" spans="1:15" x14ac:dyDescent="0.3">
      <c r="A8" s="4" t="s">
        <v>90</v>
      </c>
      <c r="B8" s="6">
        <v>2.5499999999999998</v>
      </c>
      <c r="C8" s="6">
        <v>3.45</v>
      </c>
      <c r="F8" s="7" t="str">
        <f t="shared" si="1"/>
        <v>Brand - 12</v>
      </c>
      <c r="G8" s="9">
        <f t="shared" si="2"/>
        <v>2.5499999999999998</v>
      </c>
      <c r="H8" s="9">
        <f t="shared" si="3"/>
        <v>3.45</v>
      </c>
      <c r="I8" s="10">
        <f t="shared" si="4"/>
        <v>0.35294117647058831</v>
      </c>
      <c r="L8" s="7" t="str">
        <f>'Pivot Table'!A8</f>
        <v>Maharashtra</v>
      </c>
      <c r="M8" s="14">
        <f>'Pivot Table'!B8</f>
        <v>0</v>
      </c>
      <c r="N8" s="14">
        <f>'Pivot Table'!C8</f>
        <v>16.149999999999999</v>
      </c>
      <c r="O8" s="10" t="str">
        <f t="shared" si="5"/>
        <v/>
      </c>
    </row>
    <row r="9" spans="1:15" x14ac:dyDescent="0.3">
      <c r="A9" s="4" t="s">
        <v>91</v>
      </c>
      <c r="B9" s="6"/>
      <c r="C9" s="6">
        <v>2.8</v>
      </c>
      <c r="F9" s="7" t="str">
        <f t="shared" si="1"/>
        <v>Brand - 13</v>
      </c>
      <c r="G9" s="9">
        <f t="shared" si="2"/>
        <v>0</v>
      </c>
      <c r="H9" s="9">
        <f t="shared" si="3"/>
        <v>2.8</v>
      </c>
      <c r="I9" s="10" t="str">
        <f t="shared" si="4"/>
        <v/>
      </c>
      <c r="L9" s="7" t="str">
        <f>'Pivot Table'!A9</f>
        <v>Punjab</v>
      </c>
      <c r="M9" s="14">
        <f>'Pivot Table'!B9</f>
        <v>6.75</v>
      </c>
      <c r="N9" s="14">
        <f>'Pivot Table'!C9</f>
        <v>0</v>
      </c>
      <c r="O9" s="10">
        <f t="shared" si="5"/>
        <v>-1</v>
      </c>
    </row>
    <row r="10" spans="1:15" x14ac:dyDescent="0.3">
      <c r="A10" s="4" t="s">
        <v>92</v>
      </c>
      <c r="B10" s="6"/>
      <c r="C10" s="6">
        <v>3.95</v>
      </c>
      <c r="F10" s="7" t="str">
        <f t="shared" si="1"/>
        <v>Brand - 14</v>
      </c>
      <c r="G10" s="9">
        <f t="shared" si="2"/>
        <v>0</v>
      </c>
      <c r="H10" s="9">
        <f t="shared" si="3"/>
        <v>3.95</v>
      </c>
      <c r="I10" s="10" t="str">
        <f t="shared" si="4"/>
        <v/>
      </c>
      <c r="L10" s="7" t="str">
        <f>'Pivot Table'!A10</f>
        <v>Tamil Nadu</v>
      </c>
      <c r="M10" s="14">
        <f>'Pivot Table'!B10</f>
        <v>0</v>
      </c>
      <c r="N10" s="14">
        <f>'Pivot Table'!C10</f>
        <v>8.5500000000000007</v>
      </c>
      <c r="O10" s="10" t="str">
        <f t="shared" si="5"/>
        <v/>
      </c>
    </row>
    <row r="11" spans="1:15" x14ac:dyDescent="0.3">
      <c r="A11" s="4" t="s">
        <v>93</v>
      </c>
      <c r="B11" s="6"/>
      <c r="C11" s="6">
        <v>2.75</v>
      </c>
      <c r="F11" s="7" t="str">
        <f t="shared" si="1"/>
        <v>Brand - 15</v>
      </c>
      <c r="G11" s="9">
        <f t="shared" si="2"/>
        <v>0</v>
      </c>
      <c r="H11" s="9">
        <f t="shared" si="3"/>
        <v>2.75</v>
      </c>
      <c r="I11" s="10" t="str">
        <f t="shared" si="4"/>
        <v/>
      </c>
      <c r="L11" s="12" t="s">
        <v>108</v>
      </c>
      <c r="M11" s="12">
        <f>SUM(M5:M10)</f>
        <v>20.399999999999999</v>
      </c>
      <c r="N11" s="12">
        <f>SUM(N5:N10)</f>
        <v>38.25</v>
      </c>
      <c r="O11" s="13">
        <f t="shared" si="5"/>
        <v>0.87500000000000022</v>
      </c>
    </row>
    <row r="12" spans="1:15" x14ac:dyDescent="0.3">
      <c r="A12" s="4" t="s">
        <v>63</v>
      </c>
      <c r="B12" s="6">
        <v>1.45</v>
      </c>
      <c r="C12" s="6">
        <v>2.95</v>
      </c>
      <c r="F12" s="7" t="str">
        <f t="shared" si="1"/>
        <v>Brand - 2</v>
      </c>
      <c r="G12" s="9">
        <f t="shared" si="2"/>
        <v>1.45</v>
      </c>
      <c r="H12" s="9">
        <f t="shared" si="3"/>
        <v>2.95</v>
      </c>
      <c r="I12" s="10">
        <f t="shared" si="4"/>
        <v>1.0344827586206899</v>
      </c>
    </row>
    <row r="13" spans="1:15" x14ac:dyDescent="0.3">
      <c r="A13" s="4" t="s">
        <v>68</v>
      </c>
      <c r="B13" s="6">
        <v>1.05</v>
      </c>
      <c r="C13" s="6">
        <v>2.1</v>
      </c>
      <c r="F13" s="7" t="str">
        <f t="shared" si="1"/>
        <v>Brand - 3</v>
      </c>
      <c r="G13" s="9">
        <f t="shared" si="2"/>
        <v>1.05</v>
      </c>
      <c r="H13" s="9">
        <f t="shared" si="3"/>
        <v>2.1</v>
      </c>
      <c r="I13" s="10">
        <f t="shared" si="4"/>
        <v>1</v>
      </c>
    </row>
    <row r="14" spans="1:15" x14ac:dyDescent="0.3">
      <c r="A14" s="4" t="s">
        <v>73</v>
      </c>
      <c r="B14" s="6">
        <v>1.75</v>
      </c>
      <c r="C14" s="6">
        <v>3.6</v>
      </c>
      <c r="F14" s="7" t="str">
        <f t="shared" si="1"/>
        <v>Brand - 4</v>
      </c>
      <c r="G14" s="9">
        <f t="shared" si="2"/>
        <v>1.75</v>
      </c>
      <c r="H14" s="9">
        <f t="shared" si="3"/>
        <v>3.6</v>
      </c>
      <c r="I14" s="10">
        <f t="shared" si="4"/>
        <v>1.0571428571428574</v>
      </c>
    </row>
    <row r="15" spans="1:15" x14ac:dyDescent="0.3">
      <c r="A15" s="4" t="s">
        <v>75</v>
      </c>
      <c r="B15" s="6">
        <v>1.3</v>
      </c>
      <c r="C15" s="6">
        <v>2.4</v>
      </c>
      <c r="F15" s="7" t="str">
        <f t="shared" si="1"/>
        <v>Brand - 5</v>
      </c>
      <c r="G15" s="9">
        <f t="shared" si="2"/>
        <v>1.3</v>
      </c>
      <c r="H15" s="9">
        <f t="shared" si="3"/>
        <v>2.4</v>
      </c>
      <c r="I15" s="10">
        <f t="shared" si="4"/>
        <v>0.84615384615384603</v>
      </c>
    </row>
    <row r="16" spans="1:15" x14ac:dyDescent="0.3">
      <c r="A16" s="4" t="s">
        <v>78</v>
      </c>
      <c r="B16" s="6">
        <v>2.1</v>
      </c>
      <c r="C16" s="6">
        <v>4.0999999999999996</v>
      </c>
      <c r="F16" s="7" t="str">
        <f t="shared" si="1"/>
        <v>Brand - 6</v>
      </c>
      <c r="G16" s="9">
        <f t="shared" si="2"/>
        <v>2.1</v>
      </c>
      <c r="H16" s="9">
        <f t="shared" si="3"/>
        <v>4.0999999999999996</v>
      </c>
      <c r="I16" s="10">
        <f t="shared" si="4"/>
        <v>0.95238095238095211</v>
      </c>
    </row>
    <row r="17" spans="1:9" x14ac:dyDescent="0.3">
      <c r="A17" s="4" t="s">
        <v>80</v>
      </c>
      <c r="B17" s="6">
        <v>2.4500000000000002</v>
      </c>
      <c r="C17" s="6">
        <v>4.45</v>
      </c>
      <c r="F17" s="7" t="str">
        <f t="shared" si="1"/>
        <v>Brand - 7</v>
      </c>
      <c r="G17" s="9">
        <f t="shared" si="2"/>
        <v>2.4500000000000002</v>
      </c>
      <c r="H17" s="9">
        <f t="shared" si="3"/>
        <v>4.45</v>
      </c>
      <c r="I17" s="10">
        <f t="shared" si="4"/>
        <v>0.81632653061224492</v>
      </c>
    </row>
    <row r="18" spans="1:9" x14ac:dyDescent="0.3">
      <c r="A18" s="4" t="s">
        <v>82</v>
      </c>
      <c r="B18" s="6">
        <v>1.85</v>
      </c>
      <c r="C18" s="6"/>
      <c r="F18" s="7" t="str">
        <f t="shared" si="1"/>
        <v>Brand - 8</v>
      </c>
      <c r="G18" s="9">
        <f t="shared" si="2"/>
        <v>1.85</v>
      </c>
      <c r="H18" s="9">
        <f t="shared" si="3"/>
        <v>0</v>
      </c>
      <c r="I18" s="10">
        <f t="shared" si="4"/>
        <v>-1</v>
      </c>
    </row>
    <row r="19" spans="1:9" x14ac:dyDescent="0.3">
      <c r="A19" s="4" t="s">
        <v>84</v>
      </c>
      <c r="B19" s="6">
        <v>2.75</v>
      </c>
      <c r="C19" s="6"/>
      <c r="F19" s="7" t="str">
        <f t="shared" si="1"/>
        <v>Brand - 9</v>
      </c>
      <c r="G19" s="9">
        <f t="shared" si="2"/>
        <v>2.75</v>
      </c>
      <c r="H19" s="9">
        <f t="shared" si="3"/>
        <v>0</v>
      </c>
      <c r="I19" s="10">
        <f t="shared" si="4"/>
        <v>-1</v>
      </c>
    </row>
    <row r="20" spans="1:9" x14ac:dyDescent="0.3">
      <c r="F20" s="11" t="s">
        <v>108</v>
      </c>
      <c r="G20" s="12">
        <f>SUM(G5:G19)</f>
        <v>20.400000000000002</v>
      </c>
      <c r="H20" s="12">
        <f t="shared" ref="H20:I20" si="6">SUM(H5:H19)</f>
        <v>38.25</v>
      </c>
      <c r="I20" s="13">
        <f>H20/G20-1</f>
        <v>0.87499999999999978</v>
      </c>
    </row>
  </sheetData>
  <conditionalFormatting sqref="I5:I19">
    <cfRule type="cellIs" dxfId="129" priority="2" operator="lessThan">
      <formula>0</formula>
    </cfRule>
  </conditionalFormatting>
  <conditionalFormatting sqref="O5:O10">
    <cfRule type="cellIs" dxfId="128" priority="1" operator="lessThan">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B27B0-6B09-4380-A15B-79ADDDE33A8F}">
  <sheetPr>
    <tabColor theme="7" tint="0.39997558519241921"/>
  </sheetPr>
  <dimension ref="A3:C10"/>
  <sheetViews>
    <sheetView workbookViewId="0">
      <selection activeCell="G25" sqref="G25"/>
    </sheetView>
  </sheetViews>
  <sheetFormatPr defaultRowHeight="14.4" x14ac:dyDescent="0.3"/>
  <cols>
    <col min="1" max="1" width="16.6640625" bestFit="1" customWidth="1"/>
    <col min="2" max="2" width="15.5546875" bestFit="1" customWidth="1"/>
    <col min="3" max="3" width="6" bestFit="1" customWidth="1"/>
    <col min="4" max="5" width="10.5546875" bestFit="1" customWidth="1"/>
  </cols>
  <sheetData>
    <row r="3" spans="1:3" x14ac:dyDescent="0.3">
      <c r="A3" s="3" t="s">
        <v>104</v>
      </c>
      <c r="B3" s="3" t="s">
        <v>105</v>
      </c>
    </row>
    <row r="4" spans="1:3" x14ac:dyDescent="0.3">
      <c r="A4" s="3" t="s">
        <v>103</v>
      </c>
      <c r="B4">
        <v>2022</v>
      </c>
      <c r="C4">
        <v>2023</v>
      </c>
    </row>
    <row r="5" spans="1:3" x14ac:dyDescent="0.3">
      <c r="A5" s="4" t="s">
        <v>98</v>
      </c>
      <c r="B5" s="5">
        <v>2.5499999999999998</v>
      </c>
      <c r="C5" s="5"/>
    </row>
    <row r="6" spans="1:3" x14ac:dyDescent="0.3">
      <c r="A6" s="4" t="s">
        <v>77</v>
      </c>
      <c r="B6" s="5">
        <v>11.1</v>
      </c>
      <c r="C6" s="5"/>
    </row>
    <row r="7" spans="1:3" x14ac:dyDescent="0.3">
      <c r="A7" s="4" t="s">
        <v>94</v>
      </c>
      <c r="B7" s="5"/>
      <c r="C7" s="5">
        <v>13.55</v>
      </c>
    </row>
    <row r="8" spans="1:3" x14ac:dyDescent="0.3">
      <c r="A8" s="4" t="s">
        <v>88</v>
      </c>
      <c r="B8" s="5"/>
      <c r="C8" s="5">
        <v>16.149999999999999</v>
      </c>
    </row>
    <row r="9" spans="1:3" x14ac:dyDescent="0.3">
      <c r="A9" s="4" t="s">
        <v>56</v>
      </c>
      <c r="B9" s="5">
        <v>6.75</v>
      </c>
      <c r="C9" s="5"/>
    </row>
    <row r="10" spans="1:3" x14ac:dyDescent="0.3">
      <c r="A10" s="4" t="s">
        <v>95</v>
      </c>
      <c r="B10" s="5"/>
      <c r="C10" s="5">
        <v>8.5500000000000007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MIS Report</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Boruah</dc:creator>
  <cp:lastModifiedBy>Aditya Boruah</cp:lastModifiedBy>
  <dcterms:created xsi:type="dcterms:W3CDTF">2026-02-13T16:27:38Z</dcterms:created>
  <dcterms:modified xsi:type="dcterms:W3CDTF">2026-02-13T17:10:25Z</dcterms:modified>
</cp:coreProperties>
</file>
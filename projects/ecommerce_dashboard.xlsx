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adity\Downloads\Data Analyst Portfolio\"/>
    </mc:Choice>
  </mc:AlternateContent>
  <xr:revisionPtr revIDLastSave="0" documentId="13_ncr:1_{60398A36-8B14-49BE-B73C-82E0E42E9ABA}" xr6:coauthVersionLast="47" xr6:coauthVersionMax="47" xr10:uidLastSave="{00000000-0000-0000-0000-000000000000}"/>
  <bookViews>
    <workbookView xWindow="-108" yWindow="-108" windowWidth="23256" windowHeight="12456" firstSheet="2" activeTab="8" xr2:uid="{346724B3-1C49-40AE-AA36-C77CF5D6DD09}"/>
  </bookViews>
  <sheets>
    <sheet name="Sheet3" sheetId="7" r:id="rId1"/>
    <sheet name="Sheet4" sheetId="8" r:id="rId2"/>
    <sheet name="Sheet5" sheetId="9" r:id="rId3"/>
    <sheet name="Sheet6" sheetId="10" r:id="rId4"/>
    <sheet name="Sheet7" sheetId="11" r:id="rId5"/>
    <sheet name="Sheet8" sheetId="12" r:id="rId6"/>
    <sheet name="Data" sheetId="1" r:id="rId7"/>
    <sheet name="Questions &amp; KPIs" sheetId="2" r:id="rId8"/>
    <sheet name="Dashboard" sheetId="3" r:id="rId9"/>
    <sheet name="pivot" sheetId="5" r:id="rId10"/>
    <sheet name="Logo &amp; Colors" sheetId="4" r:id="rId11"/>
  </sheets>
  <definedNames>
    <definedName name="_xlchart.v5.0" hidden="1">Sheet6!$F$66:$G$66</definedName>
    <definedName name="_xlchart.v5.1" hidden="1">Sheet6!$F$67:$G$124</definedName>
    <definedName name="_xlchart.v5.2" hidden="1">Sheet6!$H$66</definedName>
    <definedName name="_xlchart.v5.3" hidden="1">Sheet6!$H$67:$H$124</definedName>
    <definedName name="_xlchart.v5.4" hidden="1">Sheet6!$A$66:$B$66</definedName>
    <definedName name="_xlchart.v5.5" hidden="1">Sheet6!$A$67:$B$124</definedName>
    <definedName name="_xlchart.v5.6" hidden="1">Sheet6!$C$66</definedName>
    <definedName name="_xlchart.v5.7" hidden="1">Sheet6!$C$67:$C$124</definedName>
    <definedName name="Slicer_Gender_Value">#N/A</definedName>
    <definedName name="Slicer_Order_Mode">#N/A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 i="7" l="1"/>
  <c r="K4" i="7"/>
  <c r="L4" i="7"/>
  <c r="I4" i="7"/>
  <c r="I5" i="7"/>
  <c r="J5" i="7"/>
  <c r="K5" i="7"/>
  <c r="L5" i="7"/>
  <c r="I6" i="7"/>
  <c r="J6" i="7"/>
  <c r="K6" i="7"/>
  <c r="L6" i="7"/>
  <c r="I7" i="7"/>
  <c r="J7" i="7"/>
  <c r="K7" i="7"/>
  <c r="L7" i="7"/>
  <c r="I8" i="7"/>
  <c r="J8" i="7"/>
  <c r="K8" i="7"/>
  <c r="L8" i="7"/>
  <c r="I9" i="7"/>
  <c r="J9" i="7"/>
  <c r="K9" i="7"/>
  <c r="L9" i="7"/>
  <c r="H6" i="7"/>
  <c r="H7" i="7"/>
  <c r="H8" i="7"/>
  <c r="H9" i="7"/>
  <c r="H5" i="7"/>
  <c r="K4" i="5"/>
  <c r="J4" i="5"/>
  <c r="I4" i="5"/>
  <c r="H4" i="5"/>
  <c r="G4" i="5"/>
  <c r="N2" i="1"/>
  <c r="O2401" i="1" a="1"/>
  <c r="O2401" i="1" s="1"/>
  <c r="N2401" i="1"/>
  <c r="M2401" i="1"/>
  <c r="O2400" i="1" a="1"/>
  <c r="O2400" i="1" s="1"/>
  <c r="N2400" i="1"/>
  <c r="M2400" i="1"/>
  <c r="O2399" i="1" a="1"/>
  <c r="O2399" i="1" s="1"/>
  <c r="N2399" i="1"/>
  <c r="M2399" i="1"/>
  <c r="O2398" i="1"/>
  <c r="O2398" i="1" a="1"/>
  <c r="N2398" i="1"/>
  <c r="M2398" i="1"/>
  <c r="O2397" i="1"/>
  <c r="O2397" i="1" a="1"/>
  <c r="N2397" i="1"/>
  <c r="M2397" i="1"/>
  <c r="O2396" i="1" a="1"/>
  <c r="O2396" i="1" s="1"/>
  <c r="N2396" i="1"/>
  <c r="M2396" i="1"/>
  <c r="O2395" i="1" a="1"/>
  <c r="O2395" i="1" s="1"/>
  <c r="N2395" i="1"/>
  <c r="M2395" i="1"/>
  <c r="O2394" i="1" a="1"/>
  <c r="O2394" i="1" s="1"/>
  <c r="N2394" i="1"/>
  <c r="M2394" i="1"/>
  <c r="O2393" i="1" a="1"/>
  <c r="O2393" i="1" s="1"/>
  <c r="N2393" i="1"/>
  <c r="M2393" i="1"/>
  <c r="O2392" i="1"/>
  <c r="O2392" i="1" a="1"/>
  <c r="N2392" i="1"/>
  <c r="M2392" i="1"/>
  <c r="O2391" i="1" a="1"/>
  <c r="O2391" i="1" s="1"/>
  <c r="N2391" i="1"/>
  <c r="M2391" i="1"/>
  <c r="O2390" i="1"/>
  <c r="O2390" i="1" a="1"/>
  <c r="N2390" i="1"/>
  <c r="M2390" i="1"/>
  <c r="O2389" i="1" a="1"/>
  <c r="O2389" i="1" s="1"/>
  <c r="N2389" i="1"/>
  <c r="M2389" i="1"/>
  <c r="O2388" i="1"/>
  <c r="O2388" i="1" a="1"/>
  <c r="N2388" i="1"/>
  <c r="M2388" i="1"/>
  <c r="O2387" i="1" a="1"/>
  <c r="O2387" i="1" s="1"/>
  <c r="N2387" i="1"/>
  <c r="M2387" i="1"/>
  <c r="O2386" i="1" a="1"/>
  <c r="O2386" i="1" s="1"/>
  <c r="N2386" i="1"/>
  <c r="M2386" i="1"/>
  <c r="O2385" i="1"/>
  <c r="O2385" i="1" a="1"/>
  <c r="N2385" i="1"/>
  <c r="M2385" i="1"/>
  <c r="O2384" i="1"/>
  <c r="O2384" i="1" a="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c r="O2377" i="1" a="1"/>
  <c r="N2377" i="1"/>
  <c r="M2377" i="1"/>
  <c r="O2376" i="1" a="1"/>
  <c r="O2376" i="1" s="1"/>
  <c r="N2376" i="1"/>
  <c r="M2376" i="1"/>
  <c r="O2375" i="1"/>
  <c r="O2375" i="1" a="1"/>
  <c r="N2375" i="1"/>
  <c r="M2375" i="1"/>
  <c r="O2374" i="1" a="1"/>
  <c r="O2374" i="1" s="1"/>
  <c r="N2374" i="1"/>
  <c r="M2374" i="1"/>
  <c r="O2373" i="1" a="1"/>
  <c r="O2373" i="1" s="1"/>
  <c r="N2373" i="1"/>
  <c r="M2373" i="1"/>
  <c r="O2372" i="1"/>
  <c r="O2372" i="1" a="1"/>
  <c r="N2372" i="1"/>
  <c r="M2372" i="1"/>
  <c r="O2371" i="1" a="1"/>
  <c r="O2371" i="1" s="1"/>
  <c r="N2371" i="1"/>
  <c r="M2371" i="1"/>
  <c r="O2370" i="1" a="1"/>
  <c r="O2370" i="1" s="1"/>
  <c r="N2370" i="1"/>
  <c r="M2370" i="1"/>
  <c r="O2369" i="1" a="1"/>
  <c r="O2369" i="1" s="1"/>
  <c r="N2369" i="1"/>
  <c r="M2369" i="1"/>
  <c r="O2368" i="1"/>
  <c r="O2368" i="1" a="1"/>
  <c r="N2368" i="1"/>
  <c r="M2368" i="1"/>
  <c r="O2367" i="1"/>
  <c r="O2367" i="1" a="1"/>
  <c r="N2367" i="1"/>
  <c r="M2367" i="1"/>
  <c r="O2366" i="1" a="1"/>
  <c r="O2366" i="1" s="1"/>
  <c r="N2366" i="1"/>
  <c r="M2366" i="1"/>
  <c r="O2365" i="1" a="1"/>
  <c r="O2365" i="1" s="1"/>
  <c r="N2365" i="1"/>
  <c r="M2365" i="1"/>
  <c r="O2364" i="1"/>
  <c r="O2364" i="1" a="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c r="O2358" i="1" a="1"/>
  <c r="N2358" i="1"/>
  <c r="M2358" i="1"/>
  <c r="O2357" i="1" a="1"/>
  <c r="O2357" i="1" s="1"/>
  <c r="N2357" i="1"/>
  <c r="M2357" i="1"/>
  <c r="O2356" i="1"/>
  <c r="O2356" i="1" a="1"/>
  <c r="N2356" i="1"/>
  <c r="M2356" i="1"/>
  <c r="O2355" i="1"/>
  <c r="O2355" i="1" a="1"/>
  <c r="N2355" i="1"/>
  <c r="M2355" i="1"/>
  <c r="O2354" i="1" a="1"/>
  <c r="O2354" i="1" s="1"/>
  <c r="N2354" i="1"/>
  <c r="M2354" i="1"/>
  <c r="O2353" i="1" a="1"/>
  <c r="O2353" i="1" s="1"/>
  <c r="N2353" i="1"/>
  <c r="M2353" i="1"/>
  <c r="O2352" i="1" a="1"/>
  <c r="O2352" i="1" s="1"/>
  <c r="N2352" i="1"/>
  <c r="M2352" i="1"/>
  <c r="O2351" i="1" a="1"/>
  <c r="O2351" i="1" s="1"/>
  <c r="N2351" i="1"/>
  <c r="M2351" i="1"/>
  <c r="O2350" i="1"/>
  <c r="O2350" i="1" a="1"/>
  <c r="N2350" i="1"/>
  <c r="M2350" i="1"/>
  <c r="O2349" i="1"/>
  <c r="O2349" i="1" a="1"/>
  <c r="N2349" i="1"/>
  <c r="M2349" i="1"/>
  <c r="O2348" i="1" a="1"/>
  <c r="O2348" i="1" s="1"/>
  <c r="N2348" i="1"/>
  <c r="M2348" i="1"/>
  <c r="O2347" i="1" a="1"/>
  <c r="O2347" i="1" s="1"/>
  <c r="N2347" i="1"/>
  <c r="M2347" i="1"/>
  <c r="O2346" i="1"/>
  <c r="O2346" i="1" a="1"/>
  <c r="N2346" i="1"/>
  <c r="M2346" i="1"/>
  <c r="O2345" i="1" a="1"/>
  <c r="O2345" i="1" s="1"/>
  <c r="N2345" i="1"/>
  <c r="M2345" i="1"/>
  <c r="O2344" i="1" a="1"/>
  <c r="O2344" i="1" s="1"/>
  <c r="N2344" i="1"/>
  <c r="M2344" i="1"/>
  <c r="O2343" i="1"/>
  <c r="O2343" i="1" a="1"/>
  <c r="N2343" i="1"/>
  <c r="M2343" i="1"/>
  <c r="O2342" i="1" a="1"/>
  <c r="O2342" i="1" s="1"/>
  <c r="N2342" i="1"/>
  <c r="M2342" i="1"/>
  <c r="O2341" i="1" a="1"/>
  <c r="O2341" i="1" s="1"/>
  <c r="N2341" i="1"/>
  <c r="M2341" i="1"/>
  <c r="O2340" i="1" a="1"/>
  <c r="O2340" i="1" s="1"/>
  <c r="N2340" i="1"/>
  <c r="M2340" i="1"/>
  <c r="O2339" i="1"/>
  <c r="O2339" i="1" a="1"/>
  <c r="N2339" i="1"/>
  <c r="M2339" i="1"/>
  <c r="O2338" i="1" a="1"/>
  <c r="O2338" i="1" s="1"/>
  <c r="N2338" i="1"/>
  <c r="M2338" i="1"/>
  <c r="O2337" i="1" a="1"/>
  <c r="O2337" i="1" s="1"/>
  <c r="N2337" i="1"/>
  <c r="M2337" i="1"/>
  <c r="O2336" i="1" a="1"/>
  <c r="O2336" i="1" s="1"/>
  <c r="N2336" i="1"/>
  <c r="M2336" i="1"/>
  <c r="O2335" i="1"/>
  <c r="O2335" i="1" a="1"/>
  <c r="N2335" i="1"/>
  <c r="M2335" i="1"/>
  <c r="O2334" i="1" a="1"/>
  <c r="O2334" i="1" s="1"/>
  <c r="N2334" i="1"/>
  <c r="M2334" i="1"/>
  <c r="O2333" i="1" a="1"/>
  <c r="O2333" i="1" s="1"/>
  <c r="N2333" i="1"/>
  <c r="M2333" i="1"/>
  <c r="O2332" i="1"/>
  <c r="O2332" i="1" a="1"/>
  <c r="N2332" i="1"/>
  <c r="M2332" i="1"/>
  <c r="O2331" i="1" a="1"/>
  <c r="O2331" i="1" s="1"/>
  <c r="N2331" i="1"/>
  <c r="M2331" i="1"/>
  <c r="O2330" i="1" a="1"/>
  <c r="O2330" i="1" s="1"/>
  <c r="N2330" i="1"/>
  <c r="M2330" i="1"/>
  <c r="O2329" i="1"/>
  <c r="O2329" i="1" a="1"/>
  <c r="N2329" i="1"/>
  <c r="M2329" i="1"/>
  <c r="O2328" i="1" a="1"/>
  <c r="O2328" i="1" s="1"/>
  <c r="N2328" i="1"/>
  <c r="M2328" i="1"/>
  <c r="O2327" i="1"/>
  <c r="O2327" i="1" a="1"/>
  <c r="N2327" i="1"/>
  <c r="M2327" i="1"/>
  <c r="O2326" i="1"/>
  <c r="O2326" i="1" a="1"/>
  <c r="N2326" i="1"/>
  <c r="M2326" i="1"/>
  <c r="O2325" i="1" a="1"/>
  <c r="O2325" i="1" s="1"/>
  <c r="N2325" i="1"/>
  <c r="M2325" i="1"/>
  <c r="O2324" i="1" a="1"/>
  <c r="O2324" i="1" s="1"/>
  <c r="N2324" i="1"/>
  <c r="M2324" i="1"/>
  <c r="O2323" i="1"/>
  <c r="O2323" i="1" a="1"/>
  <c r="N2323" i="1"/>
  <c r="M2323" i="1"/>
  <c r="O2322" i="1" a="1"/>
  <c r="O2322" i="1" s="1"/>
  <c r="N2322" i="1"/>
  <c r="M2322" i="1"/>
  <c r="O2321" i="1"/>
  <c r="O2321" i="1" a="1"/>
  <c r="N2321" i="1"/>
  <c r="M2321" i="1"/>
  <c r="O2320" i="1" a="1"/>
  <c r="O2320" i="1" s="1"/>
  <c r="N2320" i="1"/>
  <c r="M2320" i="1"/>
  <c r="O2319" i="1"/>
  <c r="O2319" i="1" a="1"/>
  <c r="N2319" i="1"/>
  <c r="M2319" i="1"/>
  <c r="O2318" i="1" a="1"/>
  <c r="O2318" i="1" s="1"/>
  <c r="N2318" i="1"/>
  <c r="M2318" i="1"/>
  <c r="O2317" i="1" a="1"/>
  <c r="O2317" i="1" s="1"/>
  <c r="N2317" i="1"/>
  <c r="M2317" i="1"/>
  <c r="O2316" i="1"/>
  <c r="O2316" i="1" a="1"/>
  <c r="N2316" i="1"/>
  <c r="M2316" i="1"/>
  <c r="O2315" i="1" a="1"/>
  <c r="O2315" i="1" s="1"/>
  <c r="N2315" i="1"/>
  <c r="M2315" i="1"/>
  <c r="O2314" i="1"/>
  <c r="O2314" i="1" a="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c r="O2308" i="1" a="1"/>
  <c r="N2308" i="1"/>
  <c r="M2308" i="1"/>
  <c r="O2307" i="1" a="1"/>
  <c r="O2307" i="1" s="1"/>
  <c r="N2307" i="1"/>
  <c r="M2307" i="1"/>
  <c r="O2306" i="1"/>
  <c r="O2306" i="1" a="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c r="O2300" i="1" a="1"/>
  <c r="N2300" i="1"/>
  <c r="M2300" i="1"/>
  <c r="O2299" i="1" a="1"/>
  <c r="O2299" i="1" s="1"/>
  <c r="N2299" i="1"/>
  <c r="M2299" i="1"/>
  <c r="O2298" i="1"/>
  <c r="O2298" i="1" a="1"/>
  <c r="N2298" i="1"/>
  <c r="M2298" i="1"/>
  <c r="O2297" i="1"/>
  <c r="O2297" i="1" a="1"/>
  <c r="N2297" i="1"/>
  <c r="M2297" i="1"/>
  <c r="O2296" i="1" a="1"/>
  <c r="O2296" i="1" s="1"/>
  <c r="N2296" i="1"/>
  <c r="M2296" i="1"/>
  <c r="O2295" i="1"/>
  <c r="O2295" i="1" a="1"/>
  <c r="N2295" i="1"/>
  <c r="M2295" i="1"/>
  <c r="O2294" i="1"/>
  <c r="O2294" i="1" a="1"/>
  <c r="N2294" i="1"/>
  <c r="M2294" i="1"/>
  <c r="O2293" i="1" a="1"/>
  <c r="O2293" i="1" s="1"/>
  <c r="N2293" i="1"/>
  <c r="M2293" i="1"/>
  <c r="O2292" i="1"/>
  <c r="O2292" i="1" a="1"/>
  <c r="N2292" i="1"/>
  <c r="M2292" i="1"/>
  <c r="O2291" i="1"/>
  <c r="O2291" i="1" a="1"/>
  <c r="N2291" i="1"/>
  <c r="M2291" i="1"/>
  <c r="O2290" i="1"/>
  <c r="O2290" i="1" a="1"/>
  <c r="N2290" i="1"/>
  <c r="M2290" i="1"/>
  <c r="O2289" i="1" a="1"/>
  <c r="O2289" i="1" s="1"/>
  <c r="N2289" i="1"/>
  <c r="M2289" i="1"/>
  <c r="O2288" i="1"/>
  <c r="O2288" i="1" a="1"/>
  <c r="N2288" i="1"/>
  <c r="M2288" i="1"/>
  <c r="O2287" i="1"/>
  <c r="O2287" i="1" a="1"/>
  <c r="N2287" i="1"/>
  <c r="M2287" i="1"/>
  <c r="O2286" i="1"/>
  <c r="O2286" i="1" a="1"/>
  <c r="N2286" i="1"/>
  <c r="M2286" i="1"/>
  <c r="O2285" i="1"/>
  <c r="O2285" i="1" a="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c r="O2279" i="1" a="1"/>
  <c r="N2279" i="1"/>
  <c r="M2279" i="1"/>
  <c r="O2278" i="1" a="1"/>
  <c r="O2278" i="1" s="1"/>
  <c r="N2278" i="1"/>
  <c r="M2278" i="1"/>
  <c r="O2277" i="1"/>
  <c r="O2277" i="1" a="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c r="O2271" i="1" a="1"/>
  <c r="N2271" i="1"/>
  <c r="M2271" i="1"/>
  <c r="O2270" i="1" a="1"/>
  <c r="O2270" i="1" s="1"/>
  <c r="N2270" i="1"/>
  <c r="M2270" i="1"/>
  <c r="O2269" i="1"/>
  <c r="O2269" i="1" a="1"/>
  <c r="N2269" i="1"/>
  <c r="M2269" i="1"/>
  <c r="O2268" i="1" a="1"/>
  <c r="O2268" i="1" s="1"/>
  <c r="N2268" i="1"/>
  <c r="M2268" i="1"/>
  <c r="O2267" i="1" a="1"/>
  <c r="O2267" i="1" s="1"/>
  <c r="N2267" i="1"/>
  <c r="M2267" i="1"/>
  <c r="O2266" i="1"/>
  <c r="O2266" i="1" a="1"/>
  <c r="N2266" i="1"/>
  <c r="M2266" i="1"/>
  <c r="O2265" i="1"/>
  <c r="O2265" i="1" a="1"/>
  <c r="N2265" i="1"/>
  <c r="M2265" i="1"/>
  <c r="O2264" i="1" a="1"/>
  <c r="O2264" i="1" s="1"/>
  <c r="N2264" i="1"/>
  <c r="M2264" i="1"/>
  <c r="O2263" i="1"/>
  <c r="O2263" i="1" a="1"/>
  <c r="N2263" i="1"/>
  <c r="M2263" i="1"/>
  <c r="O2262" i="1" a="1"/>
  <c r="O2262" i="1" s="1"/>
  <c r="N2262" i="1"/>
  <c r="M2262" i="1"/>
  <c r="O2261" i="1" a="1"/>
  <c r="O2261" i="1" s="1"/>
  <c r="N2261" i="1"/>
  <c r="M2261" i="1"/>
  <c r="O2260" i="1" a="1"/>
  <c r="O2260" i="1" s="1"/>
  <c r="N2260" i="1"/>
  <c r="M2260" i="1"/>
  <c r="O2259" i="1" a="1"/>
  <c r="O2259" i="1" s="1"/>
  <c r="N2259" i="1"/>
  <c r="M2259" i="1"/>
  <c r="O2258" i="1"/>
  <c r="O2258" i="1" a="1"/>
  <c r="N2258" i="1"/>
  <c r="M2258" i="1"/>
  <c r="O2257" i="1" a="1"/>
  <c r="O2257" i="1" s="1"/>
  <c r="N2257" i="1"/>
  <c r="M2257" i="1"/>
  <c r="O2256" i="1"/>
  <c r="O2256" i="1" a="1"/>
  <c r="N2256" i="1"/>
  <c r="M2256" i="1"/>
  <c r="O2255" i="1" a="1"/>
  <c r="O2255" i="1" s="1"/>
  <c r="N2255" i="1"/>
  <c r="M2255" i="1"/>
  <c r="O2254" i="1" a="1"/>
  <c r="O2254" i="1" s="1"/>
  <c r="N2254" i="1"/>
  <c r="M2254" i="1"/>
  <c r="O2253" i="1" a="1"/>
  <c r="O2253" i="1" s="1"/>
  <c r="N2253" i="1"/>
  <c r="M2253" i="1"/>
  <c r="O2252" i="1"/>
  <c r="O2252" i="1" a="1"/>
  <c r="N2252" i="1"/>
  <c r="M2252" i="1"/>
  <c r="O2251" i="1" a="1"/>
  <c r="O2251" i="1" s="1"/>
  <c r="N2251" i="1"/>
  <c r="M2251" i="1"/>
  <c r="O2250" i="1"/>
  <c r="O2250" i="1" a="1"/>
  <c r="N2250" i="1"/>
  <c r="M2250" i="1"/>
  <c r="O2249" i="1" a="1"/>
  <c r="O2249" i="1" s="1"/>
  <c r="N2249" i="1"/>
  <c r="M2249" i="1"/>
  <c r="O2248" i="1"/>
  <c r="O2248" i="1" a="1"/>
  <c r="N2248" i="1"/>
  <c r="M2248" i="1"/>
  <c r="O2247" i="1" a="1"/>
  <c r="O2247" i="1" s="1"/>
  <c r="N2247" i="1"/>
  <c r="M2247" i="1"/>
  <c r="O2246" i="1"/>
  <c r="O2246" i="1" a="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c r="O2239" i="1" a="1"/>
  <c r="N2239" i="1"/>
  <c r="M2239" i="1"/>
  <c r="O2238" i="1" a="1"/>
  <c r="O2238" i="1" s="1"/>
  <c r="N2238" i="1"/>
  <c r="M2238" i="1"/>
  <c r="O2237" i="1"/>
  <c r="O2237" i="1" a="1"/>
  <c r="N2237" i="1"/>
  <c r="M2237" i="1"/>
  <c r="O2236" i="1" a="1"/>
  <c r="O2236" i="1" s="1"/>
  <c r="N2236" i="1"/>
  <c r="M2236" i="1"/>
  <c r="O2235" i="1"/>
  <c r="O2235" i="1" a="1"/>
  <c r="N2235" i="1"/>
  <c r="M2235" i="1"/>
  <c r="O2234" i="1"/>
  <c r="O2234" i="1" a="1"/>
  <c r="N2234" i="1"/>
  <c r="M2234" i="1"/>
  <c r="O2233" i="1" a="1"/>
  <c r="O2233" i="1" s="1"/>
  <c r="N2233" i="1"/>
  <c r="M2233" i="1"/>
  <c r="O2232" i="1"/>
  <c r="O2232" i="1" a="1"/>
  <c r="N2232" i="1"/>
  <c r="M2232" i="1"/>
  <c r="O2231" i="1" a="1"/>
  <c r="O2231" i="1" s="1"/>
  <c r="N2231" i="1"/>
  <c r="M2231" i="1"/>
  <c r="O2230" i="1" a="1"/>
  <c r="O2230" i="1" s="1"/>
  <c r="N2230" i="1"/>
  <c r="M2230" i="1"/>
  <c r="O2229" i="1" a="1"/>
  <c r="O2229" i="1" s="1"/>
  <c r="N2229" i="1"/>
  <c r="M2229" i="1"/>
  <c r="O2228" i="1" a="1"/>
  <c r="O2228" i="1" s="1"/>
  <c r="N2228" i="1"/>
  <c r="M2228" i="1"/>
  <c r="O2227" i="1"/>
  <c r="O2227" i="1" a="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c r="O2220" i="1" a="1"/>
  <c r="N2220" i="1"/>
  <c r="M2220" i="1"/>
  <c r="O2219" i="1" a="1"/>
  <c r="O2219" i="1" s="1"/>
  <c r="N2219" i="1"/>
  <c r="M2219" i="1"/>
  <c r="O2218" i="1"/>
  <c r="O2218" i="1" a="1"/>
  <c r="N2218" i="1"/>
  <c r="M2218" i="1"/>
  <c r="O2217" i="1"/>
  <c r="O2217" i="1" a="1"/>
  <c r="N2217" i="1"/>
  <c r="M2217" i="1"/>
  <c r="O2216" i="1" a="1"/>
  <c r="O2216" i="1" s="1"/>
  <c r="N2216" i="1"/>
  <c r="M2216" i="1"/>
  <c r="O2215" i="1" a="1"/>
  <c r="O2215" i="1" s="1"/>
  <c r="N2215" i="1"/>
  <c r="M2215" i="1"/>
  <c r="O2214" i="1" a="1"/>
  <c r="O2214" i="1" s="1"/>
  <c r="N2214" i="1"/>
  <c r="M2214" i="1"/>
  <c r="O2213" i="1"/>
  <c r="O2213" i="1" a="1"/>
  <c r="N2213" i="1"/>
  <c r="M2213" i="1"/>
  <c r="O2212" i="1" a="1"/>
  <c r="O2212" i="1" s="1"/>
  <c r="N2212" i="1"/>
  <c r="M2212" i="1"/>
  <c r="O2211" i="1" a="1"/>
  <c r="O2211" i="1" s="1"/>
  <c r="N2211" i="1"/>
  <c r="M2211" i="1"/>
  <c r="O2210" i="1" a="1"/>
  <c r="O2210" i="1" s="1"/>
  <c r="N2210" i="1"/>
  <c r="M2210" i="1"/>
  <c r="O2209" i="1"/>
  <c r="O2209" i="1" a="1"/>
  <c r="N2209" i="1"/>
  <c r="M2209" i="1"/>
  <c r="O2208" i="1"/>
  <c r="O2208" i="1" a="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c r="O2200" i="1" a="1"/>
  <c r="N2200" i="1"/>
  <c r="M2200" i="1"/>
  <c r="O2199" i="1"/>
  <c r="O2199" i="1" a="1"/>
  <c r="N2199" i="1"/>
  <c r="M2199" i="1"/>
  <c r="O2198" i="1" a="1"/>
  <c r="O2198" i="1" s="1"/>
  <c r="N2198" i="1"/>
  <c r="M2198" i="1"/>
  <c r="O2197" i="1"/>
  <c r="O2197" i="1" a="1"/>
  <c r="N2197" i="1"/>
  <c r="M2197" i="1"/>
  <c r="O2196" i="1" a="1"/>
  <c r="O2196" i="1" s="1"/>
  <c r="N2196" i="1"/>
  <c r="M2196" i="1"/>
  <c r="O2195" i="1" a="1"/>
  <c r="O2195" i="1" s="1"/>
  <c r="N2195" i="1"/>
  <c r="M2195" i="1"/>
  <c r="O2194" i="1"/>
  <c r="O2194" i="1" a="1"/>
  <c r="N2194" i="1"/>
  <c r="M2194" i="1"/>
  <c r="O2193" i="1" a="1"/>
  <c r="O2193" i="1" s="1"/>
  <c r="N2193" i="1"/>
  <c r="M2193" i="1"/>
  <c r="O2192" i="1"/>
  <c r="O2192" i="1" a="1"/>
  <c r="N2192" i="1"/>
  <c r="M2192" i="1"/>
  <c r="O2191" i="1" a="1"/>
  <c r="O2191" i="1" s="1"/>
  <c r="N2191" i="1"/>
  <c r="M2191" i="1"/>
  <c r="O2190" i="1" a="1"/>
  <c r="O2190" i="1" s="1"/>
  <c r="N2190" i="1"/>
  <c r="M2190" i="1"/>
  <c r="O2189" i="1"/>
  <c r="O2189" i="1" a="1"/>
  <c r="N2189" i="1"/>
  <c r="M2189" i="1"/>
  <c r="O2188" i="1"/>
  <c r="O2188" i="1" a="1"/>
  <c r="N2188" i="1"/>
  <c r="M2188" i="1"/>
  <c r="O2187" i="1" a="1"/>
  <c r="O2187" i="1" s="1"/>
  <c r="N2187" i="1"/>
  <c r="M2187" i="1"/>
  <c r="O2186" i="1" a="1"/>
  <c r="O2186" i="1" s="1"/>
  <c r="N2186" i="1"/>
  <c r="M2186" i="1"/>
  <c r="O2185" i="1" a="1"/>
  <c r="O2185" i="1" s="1"/>
  <c r="N2185" i="1"/>
  <c r="M2185" i="1"/>
  <c r="O2184" i="1" a="1"/>
  <c r="O2184" i="1" s="1"/>
  <c r="N2184" i="1"/>
  <c r="M2184" i="1"/>
  <c r="O2183" i="1"/>
  <c r="O2183" i="1" a="1"/>
  <c r="N2183" i="1"/>
  <c r="M2183" i="1"/>
  <c r="O2182" i="1" a="1"/>
  <c r="O2182" i="1" s="1"/>
  <c r="N2182" i="1"/>
  <c r="M2182" i="1"/>
  <c r="O2181" i="1" a="1"/>
  <c r="O2181" i="1" s="1"/>
  <c r="N2181" i="1"/>
  <c r="M2181" i="1"/>
  <c r="O2180" i="1" a="1"/>
  <c r="O2180" i="1" s="1"/>
  <c r="N2180" i="1"/>
  <c r="M2180" i="1"/>
  <c r="O2179" i="1"/>
  <c r="O2179" i="1" a="1"/>
  <c r="N2179" i="1"/>
  <c r="M2179" i="1"/>
  <c r="O2178" i="1" a="1"/>
  <c r="O2178" i="1" s="1"/>
  <c r="N2178" i="1"/>
  <c r="M2178" i="1"/>
  <c r="O2177" i="1" a="1"/>
  <c r="O2177" i="1" s="1"/>
  <c r="N2177" i="1"/>
  <c r="M2177" i="1"/>
  <c r="O2176" i="1"/>
  <c r="O2176" i="1" a="1"/>
  <c r="N2176" i="1"/>
  <c r="M2176" i="1"/>
  <c r="O2175" i="1" a="1"/>
  <c r="O2175" i="1" s="1"/>
  <c r="N2175" i="1"/>
  <c r="M2175" i="1"/>
  <c r="O2174" i="1"/>
  <c r="O2174" i="1" a="1"/>
  <c r="N2174" i="1"/>
  <c r="M2174" i="1"/>
  <c r="O2173" i="1" a="1"/>
  <c r="O2173" i="1" s="1"/>
  <c r="N2173" i="1"/>
  <c r="M2173" i="1"/>
  <c r="O2172" i="1" a="1"/>
  <c r="O2172" i="1" s="1"/>
  <c r="N2172" i="1"/>
  <c r="M2172" i="1"/>
  <c r="O2171" i="1"/>
  <c r="O2171" i="1" a="1"/>
  <c r="N2171" i="1"/>
  <c r="M2171" i="1"/>
  <c r="O2170" i="1" a="1"/>
  <c r="O2170" i="1" s="1"/>
  <c r="N2170" i="1"/>
  <c r="M2170" i="1"/>
  <c r="O2169" i="1" a="1"/>
  <c r="O2169" i="1" s="1"/>
  <c r="N2169" i="1"/>
  <c r="M2169" i="1"/>
  <c r="O2168" i="1"/>
  <c r="O2168" i="1" a="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c r="O2159" i="1" a="1"/>
  <c r="N2159" i="1"/>
  <c r="M2159" i="1"/>
  <c r="O2158" i="1" a="1"/>
  <c r="O2158" i="1" s="1"/>
  <c r="N2158" i="1"/>
  <c r="M2158" i="1"/>
  <c r="O2157" i="1" a="1"/>
  <c r="O2157" i="1" s="1"/>
  <c r="N2157" i="1"/>
  <c r="M2157" i="1"/>
  <c r="O2156" i="1" a="1"/>
  <c r="O2156" i="1" s="1"/>
  <c r="N2156" i="1"/>
  <c r="M2156" i="1"/>
  <c r="O2155" i="1"/>
  <c r="O2155" i="1" a="1"/>
  <c r="N2155" i="1"/>
  <c r="M2155" i="1"/>
  <c r="O2154" i="1"/>
  <c r="O2154" i="1" a="1"/>
  <c r="N2154" i="1"/>
  <c r="M2154" i="1"/>
  <c r="O2153" i="1" a="1"/>
  <c r="O2153" i="1" s="1"/>
  <c r="N2153" i="1"/>
  <c r="M2153" i="1"/>
  <c r="O2152" i="1"/>
  <c r="O2152" i="1" a="1"/>
  <c r="N2152" i="1"/>
  <c r="M2152" i="1"/>
  <c r="O2151" i="1"/>
  <c r="O2151" i="1" a="1"/>
  <c r="N2151" i="1"/>
  <c r="M2151" i="1"/>
  <c r="O2150" i="1"/>
  <c r="O2150" i="1" a="1"/>
  <c r="N2150" i="1"/>
  <c r="M2150" i="1"/>
  <c r="O2149" i="1" a="1"/>
  <c r="O2149" i="1" s="1"/>
  <c r="N2149" i="1"/>
  <c r="M2149" i="1"/>
  <c r="O2148" i="1"/>
  <c r="O2148" i="1" a="1"/>
  <c r="N2148" i="1"/>
  <c r="M2148" i="1"/>
  <c r="O2147" i="1"/>
  <c r="O2147" i="1" a="1"/>
  <c r="N2147" i="1"/>
  <c r="M2147" i="1"/>
  <c r="O2146" i="1" a="1"/>
  <c r="O2146" i="1" s="1"/>
  <c r="N2146" i="1"/>
  <c r="M2146" i="1"/>
  <c r="O2145" i="1" a="1"/>
  <c r="O2145" i="1" s="1"/>
  <c r="N2145" i="1"/>
  <c r="M2145" i="1"/>
  <c r="O2144" i="1"/>
  <c r="O2144" i="1" a="1"/>
  <c r="N2144" i="1"/>
  <c r="M2144" i="1"/>
  <c r="O2143" i="1" a="1"/>
  <c r="O2143" i="1" s="1"/>
  <c r="N2143" i="1"/>
  <c r="M2143" i="1"/>
  <c r="O2142" i="1" a="1"/>
  <c r="O2142" i="1" s="1"/>
  <c r="N2142" i="1"/>
  <c r="M2142" i="1"/>
  <c r="O2141" i="1" a="1"/>
  <c r="O2141" i="1" s="1"/>
  <c r="N2141" i="1"/>
  <c r="M2141" i="1"/>
  <c r="O2140" i="1" a="1"/>
  <c r="O2140" i="1" s="1"/>
  <c r="N2140" i="1"/>
  <c r="M2140" i="1"/>
  <c r="O2139" i="1"/>
  <c r="O2139" i="1" a="1"/>
  <c r="N2139" i="1"/>
  <c r="M2139" i="1"/>
  <c r="O2138" i="1"/>
  <c r="O2138" i="1" a="1"/>
  <c r="N2138" i="1"/>
  <c r="M2138" i="1"/>
  <c r="O2137" i="1" a="1"/>
  <c r="O2137" i="1" s="1"/>
  <c r="N2137" i="1"/>
  <c r="M2137" i="1"/>
  <c r="O2136" i="1"/>
  <c r="O2136" i="1" a="1"/>
  <c r="N2136" i="1"/>
  <c r="M2136" i="1"/>
  <c r="O2135" i="1" a="1"/>
  <c r="O2135" i="1" s="1"/>
  <c r="N2135" i="1"/>
  <c r="M2135" i="1"/>
  <c r="O2134" i="1" a="1"/>
  <c r="O2134" i="1" s="1"/>
  <c r="N2134" i="1"/>
  <c r="M2134" i="1"/>
  <c r="O2133" i="1"/>
  <c r="O2133" i="1" a="1"/>
  <c r="N2133" i="1"/>
  <c r="M2133" i="1"/>
  <c r="O2132" i="1" a="1"/>
  <c r="O2132" i="1" s="1"/>
  <c r="N2132" i="1"/>
  <c r="M2132" i="1"/>
  <c r="O2131" i="1" a="1"/>
  <c r="O2131" i="1" s="1"/>
  <c r="N2131" i="1"/>
  <c r="M2131" i="1"/>
  <c r="O2130" i="1"/>
  <c r="O2130" i="1" a="1"/>
  <c r="N2130" i="1"/>
  <c r="M2130" i="1"/>
  <c r="O2129" i="1" a="1"/>
  <c r="O2129" i="1" s="1"/>
  <c r="N2129" i="1"/>
  <c r="M2129" i="1"/>
  <c r="O2128" i="1" a="1"/>
  <c r="O2128" i="1" s="1"/>
  <c r="N2128" i="1"/>
  <c r="M2128" i="1"/>
  <c r="O2127" i="1" a="1"/>
  <c r="O2127" i="1" s="1"/>
  <c r="N2127" i="1"/>
  <c r="M2127" i="1"/>
  <c r="O2126" i="1" a="1"/>
  <c r="O2126" i="1" s="1"/>
  <c r="N2126" i="1"/>
  <c r="M2126" i="1"/>
  <c r="O2125" i="1"/>
  <c r="O2125" i="1" a="1"/>
  <c r="N2125" i="1"/>
  <c r="M2125" i="1"/>
  <c r="O2124" i="1"/>
  <c r="O2124" i="1" a="1"/>
  <c r="N2124" i="1"/>
  <c r="M2124" i="1"/>
  <c r="O2123" i="1"/>
  <c r="O2123" i="1" a="1"/>
  <c r="N2123" i="1"/>
  <c r="M2123" i="1"/>
  <c r="O2122" i="1" a="1"/>
  <c r="O2122" i="1" s="1"/>
  <c r="N2122" i="1"/>
  <c r="M2122" i="1"/>
  <c r="O2121" i="1" a="1"/>
  <c r="O2121" i="1" s="1"/>
  <c r="N2121" i="1"/>
  <c r="M2121" i="1"/>
  <c r="O2120" i="1"/>
  <c r="O2120" i="1" a="1"/>
  <c r="N2120" i="1"/>
  <c r="M2120" i="1"/>
  <c r="O2119" i="1"/>
  <c r="O2119" i="1" a="1"/>
  <c r="N2119" i="1"/>
  <c r="M2119" i="1"/>
  <c r="O2118" i="1"/>
  <c r="O2118" i="1" a="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c r="O2112" i="1" a="1"/>
  <c r="N2112" i="1"/>
  <c r="M2112" i="1"/>
  <c r="O2111" i="1" a="1"/>
  <c r="O2111" i="1" s="1"/>
  <c r="N2111" i="1"/>
  <c r="M2111" i="1"/>
  <c r="O2110" i="1"/>
  <c r="O2110" i="1" a="1"/>
  <c r="N2110" i="1"/>
  <c r="M2110" i="1"/>
  <c r="O2109" i="1"/>
  <c r="O2109" i="1" a="1"/>
  <c r="N2109" i="1"/>
  <c r="M2109" i="1"/>
  <c r="O2108" i="1" a="1"/>
  <c r="O2108" i="1" s="1"/>
  <c r="N2108" i="1"/>
  <c r="M2108" i="1"/>
  <c r="O2107" i="1" a="1"/>
  <c r="O2107" i="1" s="1"/>
  <c r="N2107" i="1"/>
  <c r="M2107" i="1"/>
  <c r="O2106" i="1" a="1"/>
  <c r="O2106" i="1" s="1"/>
  <c r="N2106" i="1"/>
  <c r="M2106" i="1"/>
  <c r="O2105" i="1" a="1"/>
  <c r="O2105" i="1" s="1"/>
  <c r="N2105" i="1"/>
  <c r="M2105" i="1"/>
  <c r="O2104" i="1"/>
  <c r="O2104" i="1" a="1"/>
  <c r="N2104" i="1"/>
  <c r="M2104" i="1"/>
  <c r="O2103" i="1" a="1"/>
  <c r="O2103" i="1" s="1"/>
  <c r="N2103" i="1"/>
  <c r="M2103" i="1"/>
  <c r="O2102" i="1" a="1"/>
  <c r="O2102" i="1" s="1"/>
  <c r="N2102" i="1"/>
  <c r="M2102" i="1"/>
  <c r="O2101" i="1"/>
  <c r="O2101" i="1" a="1"/>
  <c r="N2101" i="1"/>
  <c r="M2101" i="1"/>
  <c r="O2100" i="1" a="1"/>
  <c r="O2100" i="1" s="1"/>
  <c r="N2100" i="1"/>
  <c r="M2100" i="1"/>
  <c r="O2099" i="1"/>
  <c r="O2099" i="1" a="1"/>
  <c r="N2099" i="1"/>
  <c r="M2099" i="1"/>
  <c r="O2098" i="1"/>
  <c r="O2098" i="1" a="1"/>
  <c r="N2098" i="1"/>
  <c r="M2098" i="1"/>
  <c r="O2097" i="1" a="1"/>
  <c r="O2097" i="1" s="1"/>
  <c r="N2097" i="1"/>
  <c r="M2097" i="1"/>
  <c r="O2096" i="1"/>
  <c r="O2096" i="1" a="1"/>
  <c r="N2096" i="1"/>
  <c r="M2096" i="1"/>
  <c r="O2095" i="1"/>
  <c r="O2095" i="1" a="1"/>
  <c r="N2095" i="1"/>
  <c r="M2095" i="1"/>
  <c r="O2094" i="1" a="1"/>
  <c r="O2094" i="1" s="1"/>
  <c r="N2094" i="1"/>
  <c r="M2094" i="1"/>
  <c r="O2093" i="1" a="1"/>
  <c r="O2093" i="1" s="1"/>
  <c r="N2093" i="1"/>
  <c r="M2093" i="1"/>
  <c r="O2092" i="1"/>
  <c r="O2092" i="1" a="1"/>
  <c r="N2092" i="1"/>
  <c r="M2092" i="1"/>
  <c r="O2091" i="1"/>
  <c r="O2091" i="1" a="1"/>
  <c r="N2091" i="1"/>
  <c r="M2091" i="1"/>
  <c r="O2090" i="1"/>
  <c r="O2090" i="1" a="1"/>
  <c r="N2090" i="1"/>
  <c r="M2090" i="1"/>
  <c r="O2089" i="1"/>
  <c r="O2089" i="1" a="1"/>
  <c r="N2089" i="1"/>
  <c r="M2089" i="1"/>
  <c r="O2088" i="1" a="1"/>
  <c r="O2088" i="1" s="1"/>
  <c r="N2088" i="1"/>
  <c r="M2088" i="1"/>
  <c r="O2087" i="1" a="1"/>
  <c r="O2087" i="1" s="1"/>
  <c r="N2087" i="1"/>
  <c r="M2087" i="1"/>
  <c r="O2086" i="1" a="1"/>
  <c r="O2086" i="1" s="1"/>
  <c r="N2086" i="1"/>
  <c r="M2086" i="1"/>
  <c r="O2085" i="1"/>
  <c r="O2085" i="1" a="1"/>
  <c r="N2085" i="1"/>
  <c r="M2085" i="1"/>
  <c r="O2084" i="1" a="1"/>
  <c r="O2084" i="1" s="1"/>
  <c r="N2084" i="1"/>
  <c r="M2084" i="1"/>
  <c r="O2083" i="1"/>
  <c r="O2083" i="1" a="1"/>
  <c r="N2083" i="1"/>
  <c r="M2083" i="1"/>
  <c r="O2082" i="1"/>
  <c r="O2082" i="1" a="1"/>
  <c r="N2082" i="1"/>
  <c r="M2082" i="1"/>
  <c r="O2081" i="1"/>
  <c r="O2081" i="1" a="1"/>
  <c r="N2081" i="1"/>
  <c r="M2081" i="1"/>
  <c r="O2080" i="1"/>
  <c r="O2080" i="1" a="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c r="O2071" i="1" a="1"/>
  <c r="N2071" i="1"/>
  <c r="M2071" i="1"/>
  <c r="O2070" i="1"/>
  <c r="O2070" i="1" a="1"/>
  <c r="N2070" i="1"/>
  <c r="M2070" i="1"/>
  <c r="O2069" i="1"/>
  <c r="O2069" i="1" a="1"/>
  <c r="N2069" i="1"/>
  <c r="M2069" i="1"/>
  <c r="O2068" i="1"/>
  <c r="O2068" i="1" a="1"/>
  <c r="N2068" i="1"/>
  <c r="M2068" i="1"/>
  <c r="O2067" i="1"/>
  <c r="O2067" i="1" a="1"/>
  <c r="N2067" i="1"/>
  <c r="M2067" i="1"/>
  <c r="O2066" i="1"/>
  <c r="O2066" i="1" a="1"/>
  <c r="N2066" i="1"/>
  <c r="M2066" i="1"/>
  <c r="O2065" i="1" a="1"/>
  <c r="O2065" i="1" s="1"/>
  <c r="N2065" i="1"/>
  <c r="M2065" i="1"/>
  <c r="O2064" i="1" a="1"/>
  <c r="O2064" i="1" s="1"/>
  <c r="N2064" i="1"/>
  <c r="M2064" i="1"/>
  <c r="O2063" i="1" a="1"/>
  <c r="O2063" i="1" s="1"/>
  <c r="N2063" i="1"/>
  <c r="M2063" i="1"/>
  <c r="O2062" i="1" a="1"/>
  <c r="O2062" i="1" s="1"/>
  <c r="N2062" i="1"/>
  <c r="M2062" i="1"/>
  <c r="O2061" i="1"/>
  <c r="O2061" i="1" a="1"/>
  <c r="N2061" i="1"/>
  <c r="M2061" i="1"/>
  <c r="O2060" i="1"/>
  <c r="O2060" i="1" a="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c r="O2053" i="1" a="1"/>
  <c r="N2053" i="1"/>
  <c r="M2053" i="1"/>
  <c r="O2052" i="1"/>
  <c r="O2052" i="1" a="1"/>
  <c r="N2052" i="1"/>
  <c r="M2052" i="1"/>
  <c r="O2051" i="1" a="1"/>
  <c r="O2051" i="1" s="1"/>
  <c r="N2051" i="1"/>
  <c r="M2051" i="1"/>
  <c r="O2050" i="1"/>
  <c r="O2050" i="1" a="1"/>
  <c r="N2050" i="1"/>
  <c r="M2050" i="1"/>
  <c r="O2049" i="1" a="1"/>
  <c r="O2049" i="1" s="1"/>
  <c r="N2049" i="1"/>
  <c r="M2049" i="1"/>
  <c r="O2048" i="1" a="1"/>
  <c r="O2048" i="1" s="1"/>
  <c r="N2048" i="1"/>
  <c r="M2048" i="1"/>
  <c r="O2047" i="1"/>
  <c r="O2047" i="1" a="1"/>
  <c r="N2047" i="1"/>
  <c r="M2047" i="1"/>
  <c r="O2046" i="1" a="1"/>
  <c r="O2046" i="1" s="1"/>
  <c r="N2046" i="1"/>
  <c r="M2046" i="1"/>
  <c r="O2045" i="1" a="1"/>
  <c r="O2045" i="1" s="1"/>
  <c r="N2045" i="1"/>
  <c r="M2045" i="1"/>
  <c r="O2044" i="1" a="1"/>
  <c r="O2044" i="1" s="1"/>
  <c r="N2044" i="1"/>
  <c r="M2044" i="1"/>
  <c r="O2043" i="1"/>
  <c r="O2043" i="1" a="1"/>
  <c r="N2043" i="1"/>
  <c r="M2043" i="1"/>
  <c r="O2042" i="1"/>
  <c r="O2042" i="1" a="1"/>
  <c r="N2042" i="1"/>
  <c r="M2042" i="1"/>
  <c r="O2041" i="1"/>
  <c r="O2041" i="1" a="1"/>
  <c r="N2041" i="1"/>
  <c r="M2041" i="1"/>
  <c r="O2040" i="1" a="1"/>
  <c r="O2040" i="1" s="1"/>
  <c r="N2040" i="1"/>
  <c r="M2040" i="1"/>
  <c r="O2039" i="1" a="1"/>
  <c r="O2039" i="1" s="1"/>
  <c r="N2039" i="1"/>
  <c r="M2039" i="1"/>
  <c r="O2038" i="1"/>
  <c r="O2038" i="1" a="1"/>
  <c r="N2038" i="1"/>
  <c r="M2038" i="1"/>
  <c r="O2037" i="1" a="1"/>
  <c r="O2037" i="1" s="1"/>
  <c r="N2037" i="1"/>
  <c r="M2037" i="1"/>
  <c r="O2036" i="1"/>
  <c r="O2036" i="1" a="1"/>
  <c r="N2036" i="1"/>
  <c r="M2036" i="1"/>
  <c r="O2035" i="1" a="1"/>
  <c r="O2035" i="1" s="1"/>
  <c r="N2035" i="1"/>
  <c r="M2035" i="1"/>
  <c r="O2034" i="1" a="1"/>
  <c r="O2034" i="1" s="1"/>
  <c r="N2034" i="1"/>
  <c r="M2034" i="1"/>
  <c r="O2033" i="1" a="1"/>
  <c r="O2033" i="1" s="1"/>
  <c r="N2033" i="1"/>
  <c r="M2033" i="1"/>
  <c r="O2032" i="1" a="1"/>
  <c r="O2032" i="1" s="1"/>
  <c r="N2032" i="1"/>
  <c r="M2032" i="1"/>
  <c r="O2031" i="1"/>
  <c r="O2031" i="1" a="1"/>
  <c r="N2031" i="1"/>
  <c r="M2031" i="1"/>
  <c r="O2030" i="1" a="1"/>
  <c r="O2030" i="1" s="1"/>
  <c r="N2030" i="1"/>
  <c r="M2030" i="1"/>
  <c r="O2029" i="1"/>
  <c r="O2029" i="1" a="1"/>
  <c r="N2029" i="1"/>
  <c r="M2029" i="1"/>
  <c r="O2028" i="1" a="1"/>
  <c r="O2028" i="1" s="1"/>
  <c r="N2028" i="1"/>
  <c r="M2028" i="1"/>
  <c r="O2027" i="1"/>
  <c r="O2027" i="1" a="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c r="O2021" i="1" a="1"/>
  <c r="N2021" i="1"/>
  <c r="M2021" i="1"/>
  <c r="O2020" i="1" a="1"/>
  <c r="O2020" i="1" s="1"/>
  <c r="N2020" i="1"/>
  <c r="M2020" i="1"/>
  <c r="O2019" i="1" a="1"/>
  <c r="O2019" i="1" s="1"/>
  <c r="N2019" i="1"/>
  <c r="M2019" i="1"/>
  <c r="O2018" i="1"/>
  <c r="O2018" i="1" a="1"/>
  <c r="N2018" i="1"/>
  <c r="M2018" i="1"/>
  <c r="O2017" i="1"/>
  <c r="O2017" i="1" a="1"/>
  <c r="N2017" i="1"/>
  <c r="M2017" i="1"/>
  <c r="O2016" i="1" a="1"/>
  <c r="O2016" i="1" s="1"/>
  <c r="N2016" i="1"/>
  <c r="M2016" i="1"/>
  <c r="O2015" i="1"/>
  <c r="O2015" i="1" a="1"/>
  <c r="N2015" i="1"/>
  <c r="M2015" i="1"/>
  <c r="O2014" i="1"/>
  <c r="O2014" i="1" a="1"/>
  <c r="N2014" i="1"/>
  <c r="M2014" i="1"/>
  <c r="O2013" i="1"/>
  <c r="O2013" i="1" a="1"/>
  <c r="N2013" i="1"/>
  <c r="M2013" i="1"/>
  <c r="O2012" i="1"/>
  <c r="O2012" i="1" a="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c r="O2005" i="1" a="1"/>
  <c r="N2005" i="1"/>
  <c r="M2005" i="1"/>
  <c r="O2004" i="1" a="1"/>
  <c r="O2004" i="1" s="1"/>
  <c r="N2004" i="1"/>
  <c r="M2004" i="1"/>
  <c r="O2003" i="1" a="1"/>
  <c r="O2003" i="1" s="1"/>
  <c r="N2003" i="1"/>
  <c r="M2003" i="1"/>
  <c r="O2002" i="1" a="1"/>
  <c r="O2002" i="1" s="1"/>
  <c r="N2002" i="1"/>
  <c r="M2002" i="1"/>
  <c r="O2001" i="1"/>
  <c r="O2001" i="1" a="1"/>
  <c r="N2001" i="1"/>
  <c r="M2001" i="1"/>
  <c r="O2000" i="1"/>
  <c r="O2000" i="1" a="1"/>
  <c r="N2000" i="1"/>
  <c r="M2000" i="1"/>
  <c r="O1999" i="1" a="1"/>
  <c r="O1999" i="1" s="1"/>
  <c r="N1999" i="1"/>
  <c r="M1999" i="1"/>
  <c r="O1998" i="1"/>
  <c r="O1998" i="1" a="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c r="O1992" i="1" a="1"/>
  <c r="N1992" i="1"/>
  <c r="M1992" i="1"/>
  <c r="O1991" i="1"/>
  <c r="O1991" i="1" a="1"/>
  <c r="N1991" i="1"/>
  <c r="M1991" i="1"/>
  <c r="O1990" i="1" a="1"/>
  <c r="O1990" i="1" s="1"/>
  <c r="N1990" i="1"/>
  <c r="M1990" i="1"/>
  <c r="O1989" i="1" a="1"/>
  <c r="O1989" i="1" s="1"/>
  <c r="N1989" i="1"/>
  <c r="M1989" i="1"/>
  <c r="O1988" i="1" a="1"/>
  <c r="O1988" i="1" s="1"/>
  <c r="N1988" i="1"/>
  <c r="M1988" i="1"/>
  <c r="O1987" i="1"/>
  <c r="O1987" i="1" a="1"/>
  <c r="N1987" i="1"/>
  <c r="M1987" i="1"/>
  <c r="O1986" i="1"/>
  <c r="O1986" i="1" a="1"/>
  <c r="N1986" i="1"/>
  <c r="M1986" i="1"/>
  <c r="O1985" i="1"/>
  <c r="O1985" i="1" a="1"/>
  <c r="N1985" i="1"/>
  <c r="M1985" i="1"/>
  <c r="O1984" i="1" a="1"/>
  <c r="O1984" i="1" s="1"/>
  <c r="N1984" i="1"/>
  <c r="M1984" i="1"/>
  <c r="O1983" i="1"/>
  <c r="O1983" i="1" a="1"/>
  <c r="N1983" i="1"/>
  <c r="M1983" i="1"/>
  <c r="O1982" i="1"/>
  <c r="O1982" i="1" a="1"/>
  <c r="N1982" i="1"/>
  <c r="M1982" i="1"/>
  <c r="O1981" i="1" a="1"/>
  <c r="O1981" i="1" s="1"/>
  <c r="N1981" i="1"/>
  <c r="M1981" i="1"/>
  <c r="O1980" i="1"/>
  <c r="O1980" i="1" a="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c r="O1973" i="1" a="1"/>
  <c r="N1973" i="1"/>
  <c r="M1973" i="1"/>
  <c r="O1972" i="1"/>
  <c r="O1972" i="1" a="1"/>
  <c r="N1972" i="1"/>
  <c r="M1972" i="1"/>
  <c r="O1971" i="1"/>
  <c r="O1971" i="1" a="1"/>
  <c r="N1971" i="1"/>
  <c r="M1971" i="1"/>
  <c r="O1970" i="1" a="1"/>
  <c r="O1970" i="1" s="1"/>
  <c r="N1970" i="1"/>
  <c r="M1970" i="1"/>
  <c r="O1969" i="1"/>
  <c r="O1969" i="1" a="1"/>
  <c r="N1969" i="1"/>
  <c r="M1969" i="1"/>
  <c r="O1968" i="1" a="1"/>
  <c r="O1968" i="1" s="1"/>
  <c r="N1968" i="1"/>
  <c r="M1968" i="1"/>
  <c r="O1967" i="1" a="1"/>
  <c r="O1967" i="1" s="1"/>
  <c r="N1967" i="1"/>
  <c r="M1967" i="1"/>
  <c r="O1966" i="1" a="1"/>
  <c r="O1966" i="1" s="1"/>
  <c r="N1966" i="1"/>
  <c r="M1966" i="1"/>
  <c r="O1965" i="1" a="1"/>
  <c r="O1965" i="1" s="1"/>
  <c r="N1965" i="1"/>
  <c r="M1965" i="1"/>
  <c r="O1964" i="1"/>
  <c r="O1964" i="1" a="1"/>
  <c r="N1964" i="1"/>
  <c r="M1964" i="1"/>
  <c r="O1963" i="1"/>
  <c r="O1963" i="1" a="1"/>
  <c r="N1963" i="1"/>
  <c r="M1963" i="1"/>
  <c r="O1962" i="1"/>
  <c r="O1962" i="1" a="1"/>
  <c r="N1962" i="1"/>
  <c r="M1962" i="1"/>
  <c r="O1961" i="1" a="1"/>
  <c r="O1961" i="1" s="1"/>
  <c r="N1961" i="1"/>
  <c r="M1961" i="1"/>
  <c r="O1960" i="1" a="1"/>
  <c r="O1960" i="1" s="1"/>
  <c r="N1960" i="1"/>
  <c r="M1960" i="1"/>
  <c r="O1959" i="1" a="1"/>
  <c r="O1959" i="1" s="1"/>
  <c r="N1959" i="1"/>
  <c r="M1959" i="1"/>
  <c r="O1958" i="1" a="1"/>
  <c r="O1958" i="1" s="1"/>
  <c r="N1958" i="1"/>
  <c r="M1958" i="1"/>
  <c r="O1957" i="1"/>
  <c r="O1957" i="1" a="1"/>
  <c r="N1957" i="1"/>
  <c r="M1957" i="1"/>
  <c r="O1956" i="1"/>
  <c r="O1956" i="1" a="1"/>
  <c r="N1956" i="1"/>
  <c r="M1956" i="1"/>
  <c r="O1955" i="1" a="1"/>
  <c r="O1955" i="1" s="1"/>
  <c r="N1955" i="1"/>
  <c r="M1955" i="1"/>
  <c r="O1954" i="1"/>
  <c r="O1954" i="1" a="1"/>
  <c r="N1954" i="1"/>
  <c r="M1954" i="1"/>
  <c r="O1953" i="1" a="1"/>
  <c r="O1953" i="1" s="1"/>
  <c r="N1953" i="1"/>
  <c r="M1953" i="1"/>
  <c r="O1952" i="1"/>
  <c r="O1952" i="1" a="1"/>
  <c r="N1952" i="1"/>
  <c r="M1952" i="1"/>
  <c r="O1951" i="1"/>
  <c r="O1951" i="1" a="1"/>
  <c r="N1951" i="1"/>
  <c r="M1951" i="1"/>
  <c r="O1950" i="1" a="1"/>
  <c r="O1950" i="1" s="1"/>
  <c r="N1950" i="1"/>
  <c r="M1950" i="1"/>
  <c r="O1949" i="1" a="1"/>
  <c r="O1949" i="1" s="1"/>
  <c r="N1949" i="1"/>
  <c r="M1949" i="1"/>
  <c r="O1948" i="1"/>
  <c r="O1948" i="1" a="1"/>
  <c r="N1948" i="1"/>
  <c r="M1948" i="1"/>
  <c r="O1947" i="1"/>
  <c r="O1947" i="1" a="1"/>
  <c r="N1947" i="1"/>
  <c r="M1947" i="1"/>
  <c r="O1946" i="1" a="1"/>
  <c r="O1946" i="1" s="1"/>
  <c r="N1946" i="1"/>
  <c r="M1946" i="1"/>
  <c r="O1945" i="1"/>
  <c r="O1945" i="1" a="1"/>
  <c r="N1945" i="1"/>
  <c r="M1945" i="1"/>
  <c r="O1944" i="1"/>
  <c r="O1944" i="1" a="1"/>
  <c r="N1944" i="1"/>
  <c r="M1944" i="1"/>
  <c r="O1943" i="1"/>
  <c r="O1943" i="1" a="1"/>
  <c r="N1943" i="1"/>
  <c r="M1943" i="1"/>
  <c r="O1942" i="1" a="1"/>
  <c r="O1942" i="1" s="1"/>
  <c r="N1942" i="1"/>
  <c r="M1942" i="1"/>
  <c r="O1941" i="1" a="1"/>
  <c r="O1941" i="1" s="1"/>
  <c r="N1941" i="1"/>
  <c r="M1941" i="1"/>
  <c r="O1940" i="1" a="1"/>
  <c r="O1940" i="1" s="1"/>
  <c r="N1940" i="1"/>
  <c r="M1940" i="1"/>
  <c r="O1939" i="1" a="1"/>
  <c r="O1939" i="1" s="1"/>
  <c r="N1939" i="1"/>
  <c r="M1939" i="1"/>
  <c r="O1938" i="1"/>
  <c r="O1938" i="1" a="1"/>
  <c r="N1938" i="1"/>
  <c r="M1938" i="1"/>
  <c r="O1937" i="1"/>
  <c r="O1937" i="1" a="1"/>
  <c r="N1937" i="1"/>
  <c r="M1937" i="1"/>
  <c r="O1936" i="1" a="1"/>
  <c r="O1936" i="1" s="1"/>
  <c r="N1936" i="1"/>
  <c r="M1936" i="1"/>
  <c r="O1935" i="1" a="1"/>
  <c r="O1935" i="1" s="1"/>
  <c r="N1935" i="1"/>
  <c r="M1935" i="1"/>
  <c r="O1934" i="1"/>
  <c r="O1934" i="1" a="1"/>
  <c r="N1934" i="1"/>
  <c r="M1934" i="1"/>
  <c r="O1933" i="1" a="1"/>
  <c r="O1933" i="1" s="1"/>
  <c r="N1933" i="1"/>
  <c r="M1933" i="1"/>
  <c r="O1932" i="1" a="1"/>
  <c r="O1932" i="1" s="1"/>
  <c r="N1932" i="1"/>
  <c r="M1932" i="1"/>
  <c r="O1931" i="1" a="1"/>
  <c r="O1931" i="1" s="1"/>
  <c r="N1931" i="1"/>
  <c r="M1931" i="1"/>
  <c r="O1930" i="1"/>
  <c r="O1930" i="1" a="1"/>
  <c r="N1930" i="1"/>
  <c r="M1930" i="1"/>
  <c r="O1929" i="1"/>
  <c r="O1929" i="1" a="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c r="O1922" i="1" a="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c r="O1914" i="1" a="1"/>
  <c r="N1914" i="1"/>
  <c r="M1914" i="1"/>
  <c r="O1913" i="1" a="1"/>
  <c r="O1913" i="1" s="1"/>
  <c r="N1913" i="1"/>
  <c r="M1913" i="1"/>
  <c r="O1912" i="1" a="1"/>
  <c r="O1912" i="1" s="1"/>
  <c r="N1912" i="1"/>
  <c r="M1912" i="1"/>
  <c r="O1911" i="1" a="1"/>
  <c r="O1911" i="1" s="1"/>
  <c r="N1911" i="1"/>
  <c r="M1911" i="1"/>
  <c r="O1910" i="1" a="1"/>
  <c r="O1910" i="1" s="1"/>
  <c r="N1910" i="1"/>
  <c r="M1910" i="1"/>
  <c r="O1909" i="1"/>
  <c r="O1909" i="1" a="1"/>
  <c r="N1909" i="1"/>
  <c r="M1909" i="1"/>
  <c r="O1908" i="1"/>
  <c r="O1908" i="1" a="1"/>
  <c r="N1908" i="1"/>
  <c r="M1908" i="1"/>
  <c r="O1907" i="1" a="1"/>
  <c r="O1907" i="1" s="1"/>
  <c r="N1907" i="1"/>
  <c r="M1907" i="1"/>
  <c r="O1906" i="1" a="1"/>
  <c r="O1906" i="1" s="1"/>
  <c r="N1906" i="1"/>
  <c r="M1906" i="1"/>
  <c r="O1905" i="1"/>
  <c r="O1905" i="1" a="1"/>
  <c r="N1905" i="1"/>
  <c r="M1905" i="1"/>
  <c r="O1904" i="1" a="1"/>
  <c r="O1904" i="1" s="1"/>
  <c r="N1904" i="1"/>
  <c r="M1904" i="1"/>
  <c r="O1903" i="1"/>
  <c r="O1903" i="1" a="1"/>
  <c r="N1903" i="1"/>
  <c r="M1903" i="1"/>
  <c r="O1902" i="1"/>
  <c r="O1902" i="1" a="1"/>
  <c r="N1902" i="1"/>
  <c r="M1902" i="1"/>
  <c r="O1901" i="1" a="1"/>
  <c r="O1901" i="1" s="1"/>
  <c r="N1901" i="1"/>
  <c r="M1901" i="1"/>
  <c r="O1900" i="1" a="1"/>
  <c r="O1900" i="1" s="1"/>
  <c r="N1900" i="1"/>
  <c r="M1900" i="1"/>
  <c r="O1899" i="1"/>
  <c r="O1899" i="1" a="1"/>
  <c r="N1899" i="1"/>
  <c r="M1899" i="1"/>
  <c r="O1898" i="1" a="1"/>
  <c r="O1898" i="1" s="1"/>
  <c r="N1898" i="1"/>
  <c r="M1898" i="1"/>
  <c r="O1897" i="1" a="1"/>
  <c r="O1897" i="1" s="1"/>
  <c r="N1897" i="1"/>
  <c r="M1897" i="1"/>
  <c r="O1896" i="1" a="1"/>
  <c r="O1896" i="1" s="1"/>
  <c r="N1896" i="1"/>
  <c r="M1896" i="1"/>
  <c r="O1895" i="1" a="1"/>
  <c r="O1895" i="1" s="1"/>
  <c r="N1895" i="1"/>
  <c r="M1895" i="1"/>
  <c r="O1894" i="1"/>
  <c r="O1894" i="1" a="1"/>
  <c r="N1894" i="1"/>
  <c r="M1894" i="1"/>
  <c r="O1893" i="1"/>
  <c r="O1893" i="1" a="1"/>
  <c r="N1893" i="1"/>
  <c r="M1893" i="1"/>
  <c r="O1892" i="1" a="1"/>
  <c r="O1892" i="1" s="1"/>
  <c r="N1892" i="1"/>
  <c r="M1892" i="1"/>
  <c r="O1891" i="1" a="1"/>
  <c r="O1891" i="1" s="1"/>
  <c r="N1891" i="1"/>
  <c r="M1891" i="1"/>
  <c r="O1890" i="1" a="1"/>
  <c r="O1890" i="1" s="1"/>
  <c r="N1890" i="1"/>
  <c r="M1890" i="1"/>
  <c r="O1889" i="1"/>
  <c r="O1889" i="1" a="1"/>
  <c r="N1889" i="1"/>
  <c r="M1889" i="1"/>
  <c r="O1888" i="1" a="1"/>
  <c r="O1888" i="1" s="1"/>
  <c r="N1888" i="1"/>
  <c r="M1888" i="1"/>
  <c r="O1887" i="1" a="1"/>
  <c r="O1887" i="1" s="1"/>
  <c r="N1887" i="1"/>
  <c r="M1887" i="1"/>
  <c r="O1886" i="1"/>
  <c r="O1886" i="1" a="1"/>
  <c r="N1886" i="1"/>
  <c r="M1886" i="1"/>
  <c r="O1885" i="1"/>
  <c r="O1885" i="1" a="1"/>
  <c r="N1885" i="1"/>
  <c r="M1885" i="1"/>
  <c r="O1884" i="1"/>
  <c r="O1884" i="1" a="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c r="O1877" i="1" a="1"/>
  <c r="N1877" i="1"/>
  <c r="M1877" i="1"/>
  <c r="O1876" i="1" a="1"/>
  <c r="O1876" i="1" s="1"/>
  <c r="N1876" i="1"/>
  <c r="M1876" i="1"/>
  <c r="O1875" i="1" a="1"/>
  <c r="O1875" i="1" s="1"/>
  <c r="N1875" i="1"/>
  <c r="M1875" i="1"/>
  <c r="O1874" i="1"/>
  <c r="O1874" i="1" a="1"/>
  <c r="N1874" i="1"/>
  <c r="M1874" i="1"/>
  <c r="O1873" i="1"/>
  <c r="O1873" i="1" a="1"/>
  <c r="N1873" i="1"/>
  <c r="M1873" i="1"/>
  <c r="O1872" i="1" a="1"/>
  <c r="O1872" i="1" s="1"/>
  <c r="N1872" i="1"/>
  <c r="M1872" i="1"/>
  <c r="O1871" i="1" a="1"/>
  <c r="O1871" i="1" s="1"/>
  <c r="N1871" i="1"/>
  <c r="M1871" i="1"/>
  <c r="O1870" i="1" a="1"/>
  <c r="O1870" i="1" s="1"/>
  <c r="N1870" i="1"/>
  <c r="M1870" i="1"/>
  <c r="O1869" i="1" a="1"/>
  <c r="O1869" i="1" s="1"/>
  <c r="N1869" i="1"/>
  <c r="M1869" i="1"/>
  <c r="O1868" i="1"/>
  <c r="O1868" i="1" a="1"/>
  <c r="N1868" i="1"/>
  <c r="M1868" i="1"/>
  <c r="O1867" i="1" a="1"/>
  <c r="O1867" i="1" s="1"/>
  <c r="N1867" i="1"/>
  <c r="M1867" i="1"/>
  <c r="O1866" i="1" a="1"/>
  <c r="O1866" i="1" s="1"/>
  <c r="N1866" i="1"/>
  <c r="M1866" i="1"/>
  <c r="O1865" i="1" a="1"/>
  <c r="O1865" i="1" s="1"/>
  <c r="N1865" i="1"/>
  <c r="M1865" i="1"/>
  <c r="O1864" i="1"/>
  <c r="O1864" i="1" a="1"/>
  <c r="N1864" i="1"/>
  <c r="M1864" i="1"/>
  <c r="O1863" i="1" a="1"/>
  <c r="O1863" i="1" s="1"/>
  <c r="N1863" i="1"/>
  <c r="M1863" i="1"/>
  <c r="O1862" i="1" a="1"/>
  <c r="O1862" i="1" s="1"/>
  <c r="N1862" i="1"/>
  <c r="M1862" i="1"/>
  <c r="O1861" i="1" a="1"/>
  <c r="O1861" i="1" s="1"/>
  <c r="N1861" i="1"/>
  <c r="M1861" i="1"/>
  <c r="O1860" i="1"/>
  <c r="O1860" i="1" a="1"/>
  <c r="N1860" i="1"/>
  <c r="M1860" i="1"/>
  <c r="O1859" i="1" a="1"/>
  <c r="O1859" i="1" s="1"/>
  <c r="N1859" i="1"/>
  <c r="M1859" i="1"/>
  <c r="O1858" i="1" a="1"/>
  <c r="O1858" i="1" s="1"/>
  <c r="N1858" i="1"/>
  <c r="M1858" i="1"/>
  <c r="O1857" i="1" a="1"/>
  <c r="O1857" i="1" s="1"/>
  <c r="N1857" i="1"/>
  <c r="M1857" i="1"/>
  <c r="O1856" i="1"/>
  <c r="O1856" i="1" a="1"/>
  <c r="N1856" i="1"/>
  <c r="M1856" i="1"/>
  <c r="O1855" i="1" a="1"/>
  <c r="O1855" i="1" s="1"/>
  <c r="N1855" i="1"/>
  <c r="M1855" i="1"/>
  <c r="O1854" i="1"/>
  <c r="O1854" i="1" a="1"/>
  <c r="N1854" i="1"/>
  <c r="M1854" i="1"/>
  <c r="O1853" i="1" a="1"/>
  <c r="O1853" i="1" s="1"/>
  <c r="N1853" i="1"/>
  <c r="M1853" i="1"/>
  <c r="O1852" i="1" a="1"/>
  <c r="O1852" i="1" s="1"/>
  <c r="N1852" i="1"/>
  <c r="M1852" i="1"/>
  <c r="O1851" i="1"/>
  <c r="O1851" i="1" a="1"/>
  <c r="N1851" i="1"/>
  <c r="M1851" i="1"/>
  <c r="O1850" i="1" a="1"/>
  <c r="O1850" i="1" s="1"/>
  <c r="N1850" i="1"/>
  <c r="M1850" i="1"/>
  <c r="O1849" i="1" a="1"/>
  <c r="O1849" i="1" s="1"/>
  <c r="N1849" i="1"/>
  <c r="M1849" i="1"/>
  <c r="O1848" i="1" a="1"/>
  <c r="O1848" i="1" s="1"/>
  <c r="N1848" i="1"/>
  <c r="M1848" i="1"/>
  <c r="O1847" i="1" a="1"/>
  <c r="O1847" i="1" s="1"/>
  <c r="N1847" i="1"/>
  <c r="M1847" i="1"/>
  <c r="O1846" i="1"/>
  <c r="O1846" i="1" a="1"/>
  <c r="N1846" i="1"/>
  <c r="M1846" i="1"/>
  <c r="O1845" i="1"/>
  <c r="O1845" i="1" a="1"/>
  <c r="N1845" i="1"/>
  <c r="M1845" i="1"/>
  <c r="O1844" i="1" a="1"/>
  <c r="O1844" i="1" s="1"/>
  <c r="N1844" i="1"/>
  <c r="M1844" i="1"/>
  <c r="O1843" i="1" a="1"/>
  <c r="O1843" i="1" s="1"/>
  <c r="N1843" i="1"/>
  <c r="M1843" i="1"/>
  <c r="O1842" i="1"/>
  <c r="O1842" i="1" a="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c r="O1836" i="1" a="1"/>
  <c r="N1836" i="1"/>
  <c r="M1836" i="1"/>
  <c r="O1835" i="1"/>
  <c r="O1835" i="1" a="1"/>
  <c r="N1835" i="1"/>
  <c r="M1835" i="1"/>
  <c r="O1834" i="1" a="1"/>
  <c r="O1834" i="1" s="1"/>
  <c r="N1834" i="1"/>
  <c r="M1834" i="1"/>
  <c r="O1833" i="1"/>
  <c r="O1833" i="1" a="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c r="O1825" i="1" a="1"/>
  <c r="N1825" i="1"/>
  <c r="M1825" i="1"/>
  <c r="O1824" i="1" a="1"/>
  <c r="O1824" i="1" s="1"/>
  <c r="N1824" i="1"/>
  <c r="M1824" i="1"/>
  <c r="O1823" i="1" a="1"/>
  <c r="O1823" i="1" s="1"/>
  <c r="N1823" i="1"/>
  <c r="M1823" i="1"/>
  <c r="O1822" i="1" a="1"/>
  <c r="O1822" i="1" s="1"/>
  <c r="N1822" i="1"/>
  <c r="M1822" i="1"/>
  <c r="O1821" i="1"/>
  <c r="O1821" i="1" a="1"/>
  <c r="N1821" i="1"/>
  <c r="M1821" i="1"/>
  <c r="O1820" i="1" a="1"/>
  <c r="O1820" i="1" s="1"/>
  <c r="N1820" i="1"/>
  <c r="M1820" i="1"/>
  <c r="O1819" i="1" a="1"/>
  <c r="O1819" i="1" s="1"/>
  <c r="N1819" i="1"/>
  <c r="M1819" i="1"/>
  <c r="O1818" i="1"/>
  <c r="O1818" i="1" a="1"/>
  <c r="N1818" i="1"/>
  <c r="M1818" i="1"/>
  <c r="O1817" i="1"/>
  <c r="O1817" i="1" a="1"/>
  <c r="N1817" i="1"/>
  <c r="M1817" i="1"/>
  <c r="O1816" i="1"/>
  <c r="O1816" i="1" a="1"/>
  <c r="N1816" i="1"/>
  <c r="M1816" i="1"/>
  <c r="O1815" i="1"/>
  <c r="O1815" i="1" a="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c r="O1809" i="1" a="1"/>
  <c r="N1809" i="1"/>
  <c r="M1809" i="1"/>
  <c r="O1808" i="1" a="1"/>
  <c r="O1808" i="1" s="1"/>
  <c r="N1808" i="1"/>
  <c r="M1808" i="1"/>
  <c r="O1807" i="1" a="1"/>
  <c r="O1807" i="1" s="1"/>
  <c r="N1807" i="1"/>
  <c r="M1807" i="1"/>
  <c r="O1806" i="1"/>
  <c r="O1806" i="1" a="1"/>
  <c r="N1806" i="1"/>
  <c r="M1806" i="1"/>
  <c r="O1805" i="1" a="1"/>
  <c r="O1805" i="1" s="1"/>
  <c r="N1805" i="1"/>
  <c r="M1805" i="1"/>
  <c r="O1804" i="1"/>
  <c r="O1804" i="1" a="1"/>
  <c r="N1804" i="1"/>
  <c r="M1804" i="1"/>
  <c r="O1803" i="1"/>
  <c r="O1803" i="1" a="1"/>
  <c r="N1803" i="1"/>
  <c r="M1803" i="1"/>
  <c r="O1802" i="1" a="1"/>
  <c r="O1802" i="1" s="1"/>
  <c r="N1802" i="1"/>
  <c r="M1802" i="1"/>
  <c r="O1801" i="1"/>
  <c r="O1801" i="1" a="1"/>
  <c r="N1801" i="1"/>
  <c r="M1801" i="1"/>
  <c r="O1800" i="1" a="1"/>
  <c r="O1800" i="1" s="1"/>
  <c r="N1800" i="1"/>
  <c r="M1800" i="1"/>
  <c r="O1799" i="1"/>
  <c r="O1799" i="1" a="1"/>
  <c r="N1799" i="1"/>
  <c r="M1799" i="1"/>
  <c r="O1798" i="1" a="1"/>
  <c r="O1798" i="1" s="1"/>
  <c r="N1798" i="1"/>
  <c r="M1798" i="1"/>
  <c r="O1797" i="1"/>
  <c r="O1797" i="1" a="1"/>
  <c r="N1797" i="1"/>
  <c r="M1797" i="1"/>
  <c r="O1796" i="1"/>
  <c r="O1796" i="1" a="1"/>
  <c r="N1796" i="1"/>
  <c r="M1796" i="1"/>
  <c r="O1795" i="1"/>
  <c r="O1795" i="1" a="1"/>
  <c r="N1795" i="1"/>
  <c r="M1795" i="1"/>
  <c r="O1794" i="1" a="1"/>
  <c r="O1794" i="1" s="1"/>
  <c r="N1794" i="1"/>
  <c r="M1794" i="1"/>
  <c r="O1793" i="1"/>
  <c r="O1793" i="1" a="1"/>
  <c r="N1793" i="1"/>
  <c r="M1793" i="1"/>
  <c r="O1792" i="1"/>
  <c r="O1792" i="1" a="1"/>
  <c r="N1792" i="1"/>
  <c r="M1792" i="1"/>
  <c r="O1791" i="1" a="1"/>
  <c r="O1791" i="1" s="1"/>
  <c r="N1791" i="1"/>
  <c r="M1791" i="1"/>
  <c r="O1790" i="1" a="1"/>
  <c r="O1790" i="1" s="1"/>
  <c r="N1790" i="1"/>
  <c r="M1790" i="1"/>
  <c r="O1789" i="1"/>
  <c r="O1789" i="1" a="1"/>
  <c r="N1789" i="1"/>
  <c r="M1789" i="1"/>
  <c r="O1788" i="1" a="1"/>
  <c r="O1788" i="1" s="1"/>
  <c r="N1788" i="1"/>
  <c r="M1788" i="1"/>
  <c r="O1787" i="1" a="1"/>
  <c r="O1787" i="1" s="1"/>
  <c r="N1787" i="1"/>
  <c r="M1787" i="1"/>
  <c r="O1786" i="1" a="1"/>
  <c r="O1786" i="1" s="1"/>
  <c r="N1786" i="1"/>
  <c r="M1786" i="1"/>
  <c r="O1785" i="1"/>
  <c r="O1785" i="1" a="1"/>
  <c r="N1785" i="1"/>
  <c r="M1785" i="1"/>
  <c r="O1784" i="1" a="1"/>
  <c r="O1784" i="1" s="1"/>
  <c r="N1784" i="1"/>
  <c r="M1784" i="1"/>
  <c r="O1783" i="1"/>
  <c r="O1783" i="1" a="1"/>
  <c r="N1783" i="1"/>
  <c r="M1783" i="1"/>
  <c r="O1782" i="1" a="1"/>
  <c r="O1782" i="1" s="1"/>
  <c r="N1782" i="1"/>
  <c r="M1782" i="1"/>
  <c r="O1781" i="1" a="1"/>
  <c r="O1781" i="1" s="1"/>
  <c r="N1781" i="1"/>
  <c r="M1781" i="1"/>
  <c r="O1780" i="1" a="1"/>
  <c r="O1780" i="1" s="1"/>
  <c r="N1780" i="1"/>
  <c r="M1780" i="1"/>
  <c r="O1779" i="1" a="1"/>
  <c r="O1779" i="1" s="1"/>
  <c r="N1779" i="1"/>
  <c r="M1779" i="1"/>
  <c r="O1778" i="1"/>
  <c r="O1778" i="1" a="1"/>
  <c r="N1778" i="1"/>
  <c r="M1778" i="1"/>
  <c r="O1777" i="1" a="1"/>
  <c r="O1777" i="1" s="1"/>
  <c r="N1777" i="1"/>
  <c r="M1777" i="1"/>
  <c r="O1776" i="1" a="1"/>
  <c r="O1776" i="1" s="1"/>
  <c r="N1776" i="1"/>
  <c r="M1776" i="1"/>
  <c r="O1775" i="1" a="1"/>
  <c r="O1775" i="1" s="1"/>
  <c r="N1775" i="1"/>
  <c r="M1775" i="1"/>
  <c r="O1774" i="1"/>
  <c r="O1774" i="1" a="1"/>
  <c r="N1774" i="1"/>
  <c r="M1774" i="1"/>
  <c r="O1773" i="1" a="1"/>
  <c r="O1773" i="1" s="1"/>
  <c r="N1773" i="1"/>
  <c r="M1773" i="1"/>
  <c r="O1772" i="1" a="1"/>
  <c r="O1772" i="1" s="1"/>
  <c r="N1772" i="1"/>
  <c r="M1772" i="1"/>
  <c r="O1771" i="1"/>
  <c r="O1771" i="1" a="1"/>
  <c r="N1771" i="1"/>
  <c r="M1771" i="1"/>
  <c r="O1770" i="1" a="1"/>
  <c r="O1770" i="1" s="1"/>
  <c r="N1770" i="1"/>
  <c r="M1770" i="1"/>
  <c r="O1769" i="1" a="1"/>
  <c r="O1769" i="1" s="1"/>
  <c r="N1769" i="1"/>
  <c r="M1769" i="1"/>
  <c r="O1768" i="1"/>
  <c r="O1768" i="1" a="1"/>
  <c r="N1768" i="1"/>
  <c r="M1768" i="1"/>
  <c r="O1767" i="1"/>
  <c r="O1767" i="1" a="1"/>
  <c r="N1767" i="1"/>
  <c r="M1767" i="1"/>
  <c r="O1766" i="1" a="1"/>
  <c r="O1766" i="1" s="1"/>
  <c r="N1766" i="1"/>
  <c r="M1766" i="1"/>
  <c r="O1765" i="1"/>
  <c r="O1765" i="1" a="1"/>
  <c r="N1765" i="1"/>
  <c r="M1765" i="1"/>
  <c r="O1764" i="1"/>
  <c r="O1764" i="1" a="1"/>
  <c r="N1764" i="1"/>
  <c r="M1764" i="1"/>
  <c r="O1763" i="1" a="1"/>
  <c r="O1763" i="1" s="1"/>
  <c r="N1763" i="1"/>
  <c r="M1763" i="1"/>
  <c r="O1762" i="1" a="1"/>
  <c r="O1762" i="1" s="1"/>
  <c r="N1762" i="1"/>
  <c r="M1762" i="1"/>
  <c r="O1761" i="1" a="1"/>
  <c r="O1761" i="1" s="1"/>
  <c r="N1761" i="1"/>
  <c r="M1761" i="1"/>
  <c r="O1760" i="1"/>
  <c r="O1760" i="1" a="1"/>
  <c r="N1760" i="1"/>
  <c r="M1760" i="1"/>
  <c r="O1759" i="1" a="1"/>
  <c r="O1759" i="1" s="1"/>
  <c r="N1759" i="1"/>
  <c r="M1759" i="1"/>
  <c r="O1758" i="1" a="1"/>
  <c r="O1758" i="1" s="1"/>
  <c r="N1758" i="1"/>
  <c r="M1758" i="1"/>
  <c r="O1757" i="1"/>
  <c r="O1757" i="1" a="1"/>
  <c r="N1757" i="1"/>
  <c r="M1757" i="1"/>
  <c r="O1756" i="1" a="1"/>
  <c r="O1756" i="1" s="1"/>
  <c r="N1756" i="1"/>
  <c r="M1756" i="1"/>
  <c r="O1755" i="1"/>
  <c r="O1755" i="1" a="1"/>
  <c r="N1755" i="1"/>
  <c r="M1755" i="1"/>
  <c r="O1754" i="1"/>
  <c r="O1754" i="1" a="1"/>
  <c r="N1754" i="1"/>
  <c r="M1754" i="1"/>
  <c r="O1753" i="1" a="1"/>
  <c r="O1753" i="1" s="1"/>
  <c r="N1753" i="1"/>
  <c r="M1753" i="1"/>
  <c r="O1752" i="1" a="1"/>
  <c r="O1752" i="1" s="1"/>
  <c r="N1752" i="1"/>
  <c r="M1752" i="1"/>
  <c r="O1751" i="1"/>
  <c r="O1751" i="1" a="1"/>
  <c r="N1751" i="1"/>
  <c r="M1751" i="1"/>
  <c r="O1750" i="1"/>
  <c r="O1750" i="1" a="1"/>
  <c r="N1750" i="1"/>
  <c r="M1750" i="1"/>
  <c r="O1749" i="1" a="1"/>
  <c r="O1749" i="1" s="1"/>
  <c r="N1749" i="1"/>
  <c r="M1749" i="1"/>
  <c r="O1748" i="1" a="1"/>
  <c r="O1748" i="1" s="1"/>
  <c r="N1748" i="1"/>
  <c r="M1748" i="1"/>
  <c r="O1747" i="1"/>
  <c r="O1747" i="1" a="1"/>
  <c r="N1747" i="1"/>
  <c r="M1747" i="1"/>
  <c r="O1746" i="1"/>
  <c r="O1746" i="1" a="1"/>
  <c r="N1746" i="1"/>
  <c r="M1746" i="1"/>
  <c r="O1745" i="1"/>
  <c r="O1745" i="1" a="1"/>
  <c r="N1745" i="1"/>
  <c r="M1745" i="1"/>
  <c r="O1744" i="1"/>
  <c r="O1744" i="1" a="1"/>
  <c r="N1744" i="1"/>
  <c r="M1744" i="1"/>
  <c r="O1743" i="1"/>
  <c r="O1743" i="1" a="1"/>
  <c r="N1743" i="1"/>
  <c r="M1743" i="1"/>
  <c r="O1742" i="1" a="1"/>
  <c r="O1742" i="1" s="1"/>
  <c r="N1742" i="1"/>
  <c r="M1742" i="1"/>
  <c r="O1741" i="1" a="1"/>
  <c r="O1741" i="1" s="1"/>
  <c r="N1741" i="1"/>
  <c r="M1741" i="1"/>
  <c r="O1740" i="1" a="1"/>
  <c r="O1740" i="1" s="1"/>
  <c r="N1740" i="1"/>
  <c r="M1740" i="1"/>
  <c r="O1739" i="1"/>
  <c r="O1739" i="1" a="1"/>
  <c r="N1739" i="1"/>
  <c r="M1739" i="1"/>
  <c r="O1738" i="1" a="1"/>
  <c r="O1738" i="1" s="1"/>
  <c r="N1738" i="1"/>
  <c r="M1738" i="1"/>
  <c r="O1737" i="1" a="1"/>
  <c r="O1737" i="1" s="1"/>
  <c r="N1737" i="1"/>
  <c r="M1737" i="1"/>
  <c r="O1736" i="1"/>
  <c r="O1736" i="1" a="1"/>
  <c r="N1736" i="1"/>
  <c r="M1736" i="1"/>
  <c r="O1735" i="1" a="1"/>
  <c r="O1735" i="1" s="1"/>
  <c r="N1735" i="1"/>
  <c r="M1735" i="1"/>
  <c r="O1734" i="1" a="1"/>
  <c r="O1734" i="1" s="1"/>
  <c r="N1734" i="1"/>
  <c r="M1734" i="1"/>
  <c r="O1733" i="1" a="1"/>
  <c r="O1733" i="1" s="1"/>
  <c r="N1733" i="1"/>
  <c r="M1733" i="1"/>
  <c r="O1732" i="1" a="1"/>
  <c r="O1732" i="1" s="1"/>
  <c r="N1732" i="1"/>
  <c r="M1732" i="1"/>
  <c r="O1731" i="1"/>
  <c r="O1731" i="1" a="1"/>
  <c r="N1731" i="1"/>
  <c r="M1731" i="1"/>
  <c r="O1730" i="1" a="1"/>
  <c r="O1730" i="1" s="1"/>
  <c r="N1730" i="1"/>
  <c r="M1730" i="1"/>
  <c r="O1729" i="1"/>
  <c r="O1729" i="1" a="1"/>
  <c r="N1729" i="1"/>
  <c r="M1729" i="1"/>
  <c r="O1728" i="1" a="1"/>
  <c r="O1728" i="1" s="1"/>
  <c r="N1728" i="1"/>
  <c r="M1728" i="1"/>
  <c r="O1727" i="1" a="1"/>
  <c r="O1727" i="1" s="1"/>
  <c r="N1727" i="1"/>
  <c r="M1727" i="1"/>
  <c r="O1726" i="1"/>
  <c r="O1726" i="1" a="1"/>
  <c r="N1726" i="1"/>
  <c r="M1726" i="1"/>
  <c r="O1725" i="1"/>
  <c r="O1725" i="1" a="1"/>
  <c r="N1725" i="1"/>
  <c r="M1725" i="1"/>
  <c r="O1724" i="1" a="1"/>
  <c r="O1724" i="1" s="1"/>
  <c r="N1724" i="1"/>
  <c r="M1724" i="1"/>
  <c r="O1723" i="1" a="1"/>
  <c r="O1723" i="1" s="1"/>
  <c r="N1723" i="1"/>
  <c r="M1723" i="1"/>
  <c r="O1722" i="1"/>
  <c r="O1722" i="1" a="1"/>
  <c r="N1722" i="1"/>
  <c r="M1722" i="1"/>
  <c r="O1721" i="1" a="1"/>
  <c r="O1721" i="1" s="1"/>
  <c r="N1721" i="1"/>
  <c r="M1721" i="1"/>
  <c r="O1720" i="1" a="1"/>
  <c r="O1720" i="1" s="1"/>
  <c r="N1720" i="1"/>
  <c r="M1720" i="1"/>
  <c r="O1719" i="1" a="1"/>
  <c r="O1719" i="1" s="1"/>
  <c r="N1719" i="1"/>
  <c r="M1719" i="1"/>
  <c r="O1718" i="1"/>
  <c r="O1718" i="1" a="1"/>
  <c r="N1718" i="1"/>
  <c r="M1718" i="1"/>
  <c r="O1717" i="1"/>
  <c r="O1717" i="1" a="1"/>
  <c r="N1717" i="1"/>
  <c r="M1717" i="1"/>
  <c r="O1716" i="1"/>
  <c r="O1716" i="1" a="1"/>
  <c r="N1716" i="1"/>
  <c r="M1716" i="1"/>
  <c r="O1715" i="1"/>
  <c r="O1715" i="1" a="1"/>
  <c r="N1715" i="1"/>
  <c r="M1715" i="1"/>
  <c r="O1714" i="1" a="1"/>
  <c r="O1714" i="1" s="1"/>
  <c r="N1714" i="1"/>
  <c r="M1714" i="1"/>
  <c r="O1713" i="1"/>
  <c r="O1713" i="1" a="1"/>
  <c r="N1713" i="1"/>
  <c r="M1713" i="1"/>
  <c r="O1712" i="1" a="1"/>
  <c r="O1712" i="1" s="1"/>
  <c r="N1712" i="1"/>
  <c r="M1712" i="1"/>
  <c r="O1711" i="1" a="1"/>
  <c r="O1711" i="1" s="1"/>
  <c r="N1711" i="1"/>
  <c r="M1711" i="1"/>
  <c r="O1710" i="1" a="1"/>
  <c r="O1710" i="1" s="1"/>
  <c r="N1710" i="1"/>
  <c r="M1710" i="1"/>
  <c r="O1709" i="1"/>
  <c r="O1709" i="1" a="1"/>
  <c r="N1709" i="1"/>
  <c r="M1709" i="1"/>
  <c r="O1708" i="1"/>
  <c r="O1708" i="1" a="1"/>
  <c r="N1708" i="1"/>
  <c r="M1708" i="1"/>
  <c r="O1707" i="1" a="1"/>
  <c r="O1707" i="1" s="1"/>
  <c r="N1707" i="1"/>
  <c r="M1707" i="1"/>
  <c r="O1706" i="1"/>
  <c r="O1706" i="1" a="1"/>
  <c r="N1706" i="1"/>
  <c r="M1706" i="1"/>
  <c r="O1705" i="1" a="1"/>
  <c r="O1705" i="1" s="1"/>
  <c r="N1705" i="1"/>
  <c r="M1705" i="1"/>
  <c r="O1704" i="1" a="1"/>
  <c r="O1704" i="1" s="1"/>
  <c r="N1704" i="1"/>
  <c r="M1704" i="1"/>
  <c r="O1703" i="1" a="1"/>
  <c r="O1703" i="1" s="1"/>
  <c r="N1703" i="1"/>
  <c r="M1703" i="1"/>
  <c r="O1702" i="1" a="1"/>
  <c r="O1702" i="1" s="1"/>
  <c r="N1702" i="1"/>
  <c r="M1702" i="1"/>
  <c r="O1701" i="1"/>
  <c r="O1701" i="1" a="1"/>
  <c r="N1701" i="1"/>
  <c r="M1701" i="1"/>
  <c r="O1700" i="1" a="1"/>
  <c r="O1700" i="1" s="1"/>
  <c r="N1700" i="1"/>
  <c r="M1700" i="1"/>
  <c r="O1699" i="1" a="1"/>
  <c r="O1699" i="1" s="1"/>
  <c r="N1699" i="1"/>
  <c r="M1699" i="1"/>
  <c r="O1698" i="1" a="1"/>
  <c r="O1698" i="1" s="1"/>
  <c r="N1698" i="1"/>
  <c r="M1698" i="1"/>
  <c r="O1697" i="1"/>
  <c r="O1697" i="1" a="1"/>
  <c r="N1697" i="1"/>
  <c r="M1697" i="1"/>
  <c r="O1696" i="1"/>
  <c r="O1696" i="1" a="1"/>
  <c r="N1696" i="1"/>
  <c r="M1696" i="1"/>
  <c r="O1695" i="1" a="1"/>
  <c r="O1695" i="1" s="1"/>
  <c r="N1695" i="1"/>
  <c r="M1695" i="1"/>
  <c r="O1694" i="1"/>
  <c r="O1694" i="1" a="1"/>
  <c r="N1694" i="1"/>
  <c r="M1694" i="1"/>
  <c r="O1693" i="1" a="1"/>
  <c r="O1693" i="1" s="1"/>
  <c r="N1693" i="1"/>
  <c r="M1693" i="1"/>
  <c r="O1692" i="1"/>
  <c r="O1692" i="1" a="1"/>
  <c r="N1692" i="1"/>
  <c r="M1692" i="1"/>
  <c r="O1691" i="1" a="1"/>
  <c r="O1691" i="1" s="1"/>
  <c r="N1691" i="1"/>
  <c r="M1691" i="1"/>
  <c r="O1690" i="1" a="1"/>
  <c r="O1690" i="1" s="1"/>
  <c r="N1690" i="1"/>
  <c r="M1690" i="1"/>
  <c r="O1689" i="1" a="1"/>
  <c r="O1689" i="1" s="1"/>
  <c r="N1689" i="1"/>
  <c r="M1689" i="1"/>
  <c r="O1688" i="1" a="1"/>
  <c r="O1688" i="1" s="1"/>
  <c r="N1688" i="1"/>
  <c r="M1688" i="1"/>
  <c r="O1687" i="1"/>
  <c r="O1687" i="1" a="1"/>
  <c r="N1687" i="1"/>
  <c r="M1687" i="1"/>
  <c r="O1686" i="1" a="1"/>
  <c r="O1686" i="1" s="1"/>
  <c r="N1686" i="1"/>
  <c r="M1686" i="1"/>
  <c r="O1685" i="1"/>
  <c r="O1685" i="1" a="1"/>
  <c r="N1685" i="1"/>
  <c r="M1685" i="1"/>
  <c r="O1684" i="1"/>
  <c r="O1684" i="1" a="1"/>
  <c r="N1684" i="1"/>
  <c r="M1684" i="1"/>
  <c r="O1683" i="1" a="1"/>
  <c r="O1683" i="1" s="1"/>
  <c r="N1683" i="1"/>
  <c r="M1683" i="1"/>
  <c r="O1682" i="1" a="1"/>
  <c r="O1682" i="1" s="1"/>
  <c r="N1682" i="1"/>
  <c r="M1682" i="1"/>
  <c r="O1681" i="1"/>
  <c r="O1681" i="1" a="1"/>
  <c r="N1681" i="1"/>
  <c r="M1681" i="1"/>
  <c r="O1680" i="1"/>
  <c r="O1680" i="1" a="1"/>
  <c r="N1680" i="1"/>
  <c r="M1680" i="1"/>
  <c r="O1679" i="1" a="1"/>
  <c r="O1679" i="1" s="1"/>
  <c r="N1679" i="1"/>
  <c r="M1679" i="1"/>
  <c r="O1678" i="1" a="1"/>
  <c r="O1678" i="1" s="1"/>
  <c r="N1678" i="1"/>
  <c r="M1678" i="1"/>
  <c r="O1677" i="1"/>
  <c r="O1677" i="1" a="1"/>
  <c r="N1677" i="1"/>
  <c r="M1677" i="1"/>
  <c r="O1676" i="1" a="1"/>
  <c r="O1676" i="1" s="1"/>
  <c r="N1676" i="1"/>
  <c r="M1676" i="1"/>
  <c r="O1675" i="1" a="1"/>
  <c r="O1675" i="1" s="1"/>
  <c r="N1675" i="1"/>
  <c r="M1675" i="1"/>
  <c r="O1674" i="1" a="1"/>
  <c r="O1674" i="1" s="1"/>
  <c r="N1674" i="1"/>
  <c r="M1674" i="1"/>
  <c r="O1673" i="1"/>
  <c r="O1673" i="1" a="1"/>
  <c r="N1673" i="1"/>
  <c r="M1673" i="1"/>
  <c r="O1672" i="1" a="1"/>
  <c r="O1672" i="1" s="1"/>
  <c r="N1672" i="1"/>
  <c r="M1672" i="1"/>
  <c r="O1671" i="1" a="1"/>
  <c r="O1671" i="1" s="1"/>
  <c r="N1671" i="1"/>
  <c r="M1671" i="1"/>
  <c r="O1670" i="1"/>
  <c r="O1670" i="1" a="1"/>
  <c r="N1670" i="1"/>
  <c r="M1670" i="1"/>
  <c r="O1669" i="1" a="1"/>
  <c r="O1669" i="1" s="1"/>
  <c r="N1669" i="1"/>
  <c r="M1669" i="1"/>
  <c r="O1668" i="1"/>
  <c r="O1668" i="1" a="1"/>
  <c r="N1668" i="1"/>
  <c r="M1668" i="1"/>
  <c r="O1667" i="1"/>
  <c r="O1667" i="1" a="1"/>
  <c r="N1667" i="1"/>
  <c r="M1667" i="1"/>
  <c r="O1666" i="1"/>
  <c r="O1666" i="1" a="1"/>
  <c r="N1666" i="1"/>
  <c r="M1666" i="1"/>
  <c r="O1665" i="1" a="1"/>
  <c r="O1665" i="1" s="1"/>
  <c r="N1665" i="1"/>
  <c r="M1665" i="1"/>
  <c r="O1664" i="1" a="1"/>
  <c r="O1664" i="1" s="1"/>
  <c r="N1664" i="1"/>
  <c r="M1664" i="1"/>
  <c r="O1663" i="1" a="1"/>
  <c r="O1663" i="1" s="1"/>
  <c r="N1663" i="1"/>
  <c r="M1663" i="1"/>
  <c r="O1662" i="1" a="1"/>
  <c r="O1662" i="1" s="1"/>
  <c r="N1662" i="1"/>
  <c r="M1662" i="1"/>
  <c r="O1661" i="1"/>
  <c r="O1661" i="1" a="1"/>
  <c r="N1661" i="1"/>
  <c r="M1661" i="1"/>
  <c r="O1660" i="1" a="1"/>
  <c r="O1660" i="1" s="1"/>
  <c r="N1660" i="1"/>
  <c r="M1660" i="1"/>
  <c r="O1659" i="1"/>
  <c r="O1659" i="1" a="1"/>
  <c r="N1659" i="1"/>
  <c r="M1659" i="1"/>
  <c r="O1658" i="1" a="1"/>
  <c r="O1658" i="1" s="1"/>
  <c r="N1658" i="1"/>
  <c r="M1658" i="1"/>
  <c r="O1657" i="1" a="1"/>
  <c r="O1657" i="1" s="1"/>
  <c r="N1657" i="1"/>
  <c r="M1657" i="1"/>
  <c r="O1656" i="1" a="1"/>
  <c r="O1656" i="1" s="1"/>
  <c r="N1656" i="1"/>
  <c r="M1656" i="1"/>
  <c r="O1655" i="1"/>
  <c r="O1655" i="1" a="1"/>
  <c r="N1655" i="1"/>
  <c r="M1655" i="1"/>
  <c r="O1654" i="1" a="1"/>
  <c r="O1654" i="1" s="1"/>
  <c r="N1654" i="1"/>
  <c r="M1654" i="1"/>
  <c r="O1653" i="1" a="1"/>
  <c r="O1653" i="1" s="1"/>
  <c r="N1653" i="1"/>
  <c r="M1653" i="1"/>
  <c r="O1652" i="1"/>
  <c r="O1652" i="1" a="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c r="O1645" i="1" a="1"/>
  <c r="N1645" i="1"/>
  <c r="M1645" i="1"/>
  <c r="O1644" i="1" a="1"/>
  <c r="O1644" i="1" s="1"/>
  <c r="N1644" i="1"/>
  <c r="M1644" i="1"/>
  <c r="O1643" i="1" a="1"/>
  <c r="O1643" i="1" s="1"/>
  <c r="N1643" i="1"/>
  <c r="M1643" i="1"/>
  <c r="O1642" i="1"/>
  <c r="O1642" i="1" a="1"/>
  <c r="N1642" i="1"/>
  <c r="M1642" i="1"/>
  <c r="O1641" i="1" a="1"/>
  <c r="O1641" i="1" s="1"/>
  <c r="N1641" i="1"/>
  <c r="M1641" i="1"/>
  <c r="O1640" i="1" a="1"/>
  <c r="O1640" i="1" s="1"/>
  <c r="N1640" i="1"/>
  <c r="M1640" i="1"/>
  <c r="O1639" i="1"/>
  <c r="O1639" i="1" a="1"/>
  <c r="N1639" i="1"/>
  <c r="M1639" i="1"/>
  <c r="O1638" i="1"/>
  <c r="O1638" i="1" a="1"/>
  <c r="N1638" i="1"/>
  <c r="M1638" i="1"/>
  <c r="O1637" i="1" a="1"/>
  <c r="O1637" i="1" s="1"/>
  <c r="N1637" i="1"/>
  <c r="M1637" i="1"/>
  <c r="O1636" i="1"/>
  <c r="O1636" i="1" a="1"/>
  <c r="N1636" i="1"/>
  <c r="M1636" i="1"/>
  <c r="O1635" i="1" a="1"/>
  <c r="O1635" i="1" s="1"/>
  <c r="N1635" i="1"/>
  <c r="M1635" i="1"/>
  <c r="O1634" i="1" a="1"/>
  <c r="O1634" i="1" s="1"/>
  <c r="N1634" i="1"/>
  <c r="M1634" i="1"/>
  <c r="O1633" i="1"/>
  <c r="O1633" i="1" a="1"/>
  <c r="N1633" i="1"/>
  <c r="M1633" i="1"/>
  <c r="O1632" i="1" a="1"/>
  <c r="O1632" i="1" s="1"/>
  <c r="N1632" i="1"/>
  <c r="M1632" i="1"/>
  <c r="O1631" i="1"/>
  <c r="O1631" i="1" a="1"/>
  <c r="N1631" i="1"/>
  <c r="M1631" i="1"/>
  <c r="O1630" i="1" a="1"/>
  <c r="O1630" i="1" s="1"/>
  <c r="N1630" i="1"/>
  <c r="M1630" i="1"/>
  <c r="O1629" i="1" a="1"/>
  <c r="O1629" i="1" s="1"/>
  <c r="N1629" i="1"/>
  <c r="M1629" i="1"/>
  <c r="O1628" i="1"/>
  <c r="O1628" i="1" a="1"/>
  <c r="N1628" i="1"/>
  <c r="M1628" i="1"/>
  <c r="O1627" i="1"/>
  <c r="O1627" i="1" a="1"/>
  <c r="N1627" i="1"/>
  <c r="M1627" i="1"/>
  <c r="O1626" i="1"/>
  <c r="O1626" i="1" a="1"/>
  <c r="N1626" i="1"/>
  <c r="M1626" i="1"/>
  <c r="O1625" i="1" a="1"/>
  <c r="O1625" i="1" s="1"/>
  <c r="N1625" i="1"/>
  <c r="M1625" i="1"/>
  <c r="O1624" i="1"/>
  <c r="O1624" i="1" a="1"/>
  <c r="N1624" i="1"/>
  <c r="M1624" i="1"/>
  <c r="O1623" i="1" a="1"/>
  <c r="O1623" i="1" s="1"/>
  <c r="N1623" i="1"/>
  <c r="M1623" i="1"/>
  <c r="O1622" i="1" a="1"/>
  <c r="O1622" i="1" s="1"/>
  <c r="N1622" i="1"/>
  <c r="M1622" i="1"/>
  <c r="O1621" i="1" a="1"/>
  <c r="O1621" i="1" s="1"/>
  <c r="N1621" i="1"/>
  <c r="M1621" i="1"/>
  <c r="O1620" i="1"/>
  <c r="O1620" i="1" a="1"/>
  <c r="N1620" i="1"/>
  <c r="M1620" i="1"/>
  <c r="O1619" i="1" a="1"/>
  <c r="O1619" i="1" s="1"/>
  <c r="N1619" i="1"/>
  <c r="M1619" i="1"/>
  <c r="O1618" i="1" a="1"/>
  <c r="O1618" i="1" s="1"/>
  <c r="N1618" i="1"/>
  <c r="M1618" i="1"/>
  <c r="O1617" i="1"/>
  <c r="O1617" i="1" a="1"/>
  <c r="N1617" i="1"/>
  <c r="M1617" i="1"/>
  <c r="O1616" i="1" a="1"/>
  <c r="O1616" i="1" s="1"/>
  <c r="N1616" i="1"/>
  <c r="M1616" i="1"/>
  <c r="O1615" i="1" a="1"/>
  <c r="O1615" i="1" s="1"/>
  <c r="N1615" i="1"/>
  <c r="M1615" i="1"/>
  <c r="O1614" i="1" a="1"/>
  <c r="O1614" i="1" s="1"/>
  <c r="N1614" i="1"/>
  <c r="M1614" i="1"/>
  <c r="O1613" i="1"/>
  <c r="O1613" i="1" a="1"/>
  <c r="N1613" i="1"/>
  <c r="M1613" i="1"/>
  <c r="O1612" i="1"/>
  <c r="O1612" i="1" a="1"/>
  <c r="N1612" i="1"/>
  <c r="M1612" i="1"/>
  <c r="O1611" i="1" a="1"/>
  <c r="O1611" i="1" s="1"/>
  <c r="N1611" i="1"/>
  <c r="M1611" i="1"/>
  <c r="O1610" i="1"/>
  <c r="O1610" i="1" a="1"/>
  <c r="N1610" i="1"/>
  <c r="M1610" i="1"/>
  <c r="O1609" i="1" a="1"/>
  <c r="O1609" i="1" s="1"/>
  <c r="N1609" i="1"/>
  <c r="M1609" i="1"/>
  <c r="O1608" i="1"/>
  <c r="O1608" i="1" a="1"/>
  <c r="N1608" i="1"/>
  <c r="M1608" i="1"/>
  <c r="O1607" i="1"/>
  <c r="O1607" i="1" a="1"/>
  <c r="N1607" i="1"/>
  <c r="M1607" i="1"/>
  <c r="O1606" i="1" a="1"/>
  <c r="O1606" i="1" s="1"/>
  <c r="N1606" i="1"/>
  <c r="M1606" i="1"/>
  <c r="O1605" i="1" a="1"/>
  <c r="O1605" i="1" s="1"/>
  <c r="N1605" i="1"/>
  <c r="M1605" i="1"/>
  <c r="O1604" i="1"/>
  <c r="O1604" i="1" a="1"/>
  <c r="N1604" i="1"/>
  <c r="M1604" i="1"/>
  <c r="O1603" i="1"/>
  <c r="O1603" i="1" a="1"/>
  <c r="N1603" i="1"/>
  <c r="M1603" i="1"/>
  <c r="O1602" i="1" a="1"/>
  <c r="O1602" i="1" s="1"/>
  <c r="N1602" i="1"/>
  <c r="M1602" i="1"/>
  <c r="O1601" i="1"/>
  <c r="O1601" i="1" a="1"/>
  <c r="N1601" i="1"/>
  <c r="M1601" i="1"/>
  <c r="O1600" i="1" a="1"/>
  <c r="O1600" i="1" s="1"/>
  <c r="N1600" i="1"/>
  <c r="M1600" i="1"/>
  <c r="O1599" i="1"/>
  <c r="O1599" i="1" a="1"/>
  <c r="N1599" i="1"/>
  <c r="M1599" i="1"/>
  <c r="O1598" i="1"/>
  <c r="O1598" i="1" a="1"/>
  <c r="N1598" i="1"/>
  <c r="M1598" i="1"/>
  <c r="O1597" i="1"/>
  <c r="O1597" i="1" a="1"/>
  <c r="N1597" i="1"/>
  <c r="M1597" i="1"/>
  <c r="O1596" i="1"/>
  <c r="O1596" i="1" a="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c r="O1589" i="1" a="1"/>
  <c r="N1589" i="1"/>
  <c r="M1589" i="1"/>
  <c r="O1588" i="1" a="1"/>
  <c r="O1588" i="1" s="1"/>
  <c r="N1588" i="1"/>
  <c r="M1588" i="1"/>
  <c r="O1587" i="1"/>
  <c r="O1587" i="1" a="1"/>
  <c r="N1587" i="1"/>
  <c r="M1587" i="1"/>
  <c r="O1586" i="1" a="1"/>
  <c r="O1586" i="1" s="1"/>
  <c r="N1586" i="1"/>
  <c r="M1586" i="1"/>
  <c r="O1585" i="1" a="1"/>
  <c r="O1585" i="1" s="1"/>
  <c r="N1585" i="1"/>
  <c r="M1585" i="1"/>
  <c r="O1584" i="1" a="1"/>
  <c r="O1584" i="1" s="1"/>
  <c r="N1584" i="1"/>
  <c r="M1584" i="1"/>
  <c r="O1583" i="1" a="1"/>
  <c r="O1583" i="1" s="1"/>
  <c r="N1583" i="1"/>
  <c r="M1583" i="1"/>
  <c r="O1582" i="1"/>
  <c r="O1582" i="1" a="1"/>
  <c r="N1582" i="1"/>
  <c r="M1582" i="1"/>
  <c r="O1581" i="1" a="1"/>
  <c r="O1581" i="1" s="1"/>
  <c r="N1581" i="1"/>
  <c r="M1581" i="1"/>
  <c r="O1580" i="1" a="1"/>
  <c r="O1580" i="1" s="1"/>
  <c r="N1580" i="1"/>
  <c r="M1580" i="1"/>
  <c r="O1579" i="1"/>
  <c r="O1579" i="1" a="1"/>
  <c r="N1579" i="1"/>
  <c r="M1579" i="1"/>
  <c r="O1578" i="1"/>
  <c r="O1578" i="1" a="1"/>
  <c r="N1578" i="1"/>
  <c r="M1578" i="1"/>
  <c r="O1577" i="1" a="1"/>
  <c r="O1577" i="1" s="1"/>
  <c r="N1577" i="1"/>
  <c r="M1577" i="1"/>
  <c r="O1576" i="1" a="1"/>
  <c r="O1576" i="1" s="1"/>
  <c r="N1576" i="1"/>
  <c r="M1576" i="1"/>
  <c r="O1575" i="1"/>
  <c r="O1575" i="1" a="1"/>
  <c r="N1575" i="1"/>
  <c r="M1575" i="1"/>
  <c r="O1574" i="1" a="1"/>
  <c r="O1574" i="1" s="1"/>
  <c r="N1574" i="1"/>
  <c r="M1574" i="1"/>
  <c r="O1573" i="1" a="1"/>
  <c r="O1573" i="1" s="1"/>
  <c r="N1573" i="1"/>
  <c r="M1573" i="1"/>
  <c r="O1572" i="1" a="1"/>
  <c r="O1572" i="1" s="1"/>
  <c r="N1572" i="1"/>
  <c r="M1572" i="1"/>
  <c r="O1571" i="1"/>
  <c r="O1571" i="1" a="1"/>
  <c r="N1571" i="1"/>
  <c r="M1571" i="1"/>
  <c r="O1570" i="1" a="1"/>
  <c r="O1570" i="1" s="1"/>
  <c r="N1570" i="1"/>
  <c r="M1570" i="1"/>
  <c r="O1569" i="1" a="1"/>
  <c r="O1569" i="1" s="1"/>
  <c r="N1569" i="1"/>
  <c r="M1569" i="1"/>
  <c r="O1568" i="1"/>
  <c r="O1568" i="1" a="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c r="O1561" i="1" a="1"/>
  <c r="N1561" i="1"/>
  <c r="M1561" i="1"/>
  <c r="O1560" i="1" a="1"/>
  <c r="O1560" i="1" s="1"/>
  <c r="N1560" i="1"/>
  <c r="M1560" i="1"/>
  <c r="O1559" i="1"/>
  <c r="O1559" i="1" a="1"/>
  <c r="N1559" i="1"/>
  <c r="M1559" i="1"/>
  <c r="O1558" i="1"/>
  <c r="O1558" i="1" a="1"/>
  <c r="N1558" i="1"/>
  <c r="M1558" i="1"/>
  <c r="O1557" i="1"/>
  <c r="O1557" i="1" a="1"/>
  <c r="N1557" i="1"/>
  <c r="M1557" i="1"/>
  <c r="O1556" i="1" a="1"/>
  <c r="O1556" i="1" s="1"/>
  <c r="N1556" i="1"/>
  <c r="M1556" i="1"/>
  <c r="O1555" i="1" a="1"/>
  <c r="O1555" i="1" s="1"/>
  <c r="N1555" i="1"/>
  <c r="M1555" i="1"/>
  <c r="O1554" i="1"/>
  <c r="O1554" i="1" a="1"/>
  <c r="N1554" i="1"/>
  <c r="M1554" i="1"/>
  <c r="O1553" i="1" a="1"/>
  <c r="O1553" i="1" s="1"/>
  <c r="N1553" i="1"/>
  <c r="M1553" i="1"/>
  <c r="O1552" i="1" a="1"/>
  <c r="O1552" i="1" s="1"/>
  <c r="N1552" i="1"/>
  <c r="M1552" i="1"/>
  <c r="O1551" i="1"/>
  <c r="O1551" i="1" a="1"/>
  <c r="N1551" i="1"/>
  <c r="M1551" i="1"/>
  <c r="O1550" i="1" a="1"/>
  <c r="O1550" i="1" s="1"/>
  <c r="N1550" i="1"/>
  <c r="M1550" i="1"/>
  <c r="O1549" i="1"/>
  <c r="O1549" i="1" a="1"/>
  <c r="N1549" i="1"/>
  <c r="M1549" i="1"/>
  <c r="O1548" i="1"/>
  <c r="O1548" i="1" a="1"/>
  <c r="N1548" i="1"/>
  <c r="M1548" i="1"/>
  <c r="O1547" i="1"/>
  <c r="O1547" i="1" a="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c r="O1540" i="1" a="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c r="O1533" i="1" a="1"/>
  <c r="N1533" i="1"/>
  <c r="M1533" i="1"/>
  <c r="O1532" i="1" a="1"/>
  <c r="O1532" i="1" s="1"/>
  <c r="N1532" i="1"/>
  <c r="M1532" i="1"/>
  <c r="O1531" i="1" a="1"/>
  <c r="O1531" i="1" s="1"/>
  <c r="N1531" i="1"/>
  <c r="M1531" i="1"/>
  <c r="O1530" i="1"/>
  <c r="O1530" i="1" a="1"/>
  <c r="N1530" i="1"/>
  <c r="M1530" i="1"/>
  <c r="O1529" i="1"/>
  <c r="O1529" i="1" a="1"/>
  <c r="N1529" i="1"/>
  <c r="M1529" i="1"/>
  <c r="O1528" i="1" a="1"/>
  <c r="O1528" i="1" s="1"/>
  <c r="N1528" i="1"/>
  <c r="M1528" i="1"/>
  <c r="O1527" i="1" a="1"/>
  <c r="O1527" i="1" s="1"/>
  <c r="N1527" i="1"/>
  <c r="M1527" i="1"/>
  <c r="O1526" i="1"/>
  <c r="O1526" i="1" a="1"/>
  <c r="N1526" i="1"/>
  <c r="M1526" i="1"/>
  <c r="O1525" i="1" a="1"/>
  <c r="O1525" i="1" s="1"/>
  <c r="N1525" i="1"/>
  <c r="M1525" i="1"/>
  <c r="O1524" i="1"/>
  <c r="O1524" i="1" a="1"/>
  <c r="N1524" i="1"/>
  <c r="M1524" i="1"/>
  <c r="O1523" i="1"/>
  <c r="O1523" i="1" a="1"/>
  <c r="N1523" i="1"/>
  <c r="M1523" i="1"/>
  <c r="O1522" i="1" a="1"/>
  <c r="O1522" i="1" s="1"/>
  <c r="N1522" i="1"/>
  <c r="M1522" i="1"/>
  <c r="O1521" i="1" a="1"/>
  <c r="O1521" i="1" s="1"/>
  <c r="N1521" i="1"/>
  <c r="M1521" i="1"/>
  <c r="O1520" i="1"/>
  <c r="O1520" i="1" a="1"/>
  <c r="N1520" i="1"/>
  <c r="M1520" i="1"/>
  <c r="O1519" i="1"/>
  <c r="O1519" i="1" a="1"/>
  <c r="N1519" i="1"/>
  <c r="M1519" i="1"/>
  <c r="O1518" i="1" a="1"/>
  <c r="O1518" i="1" s="1"/>
  <c r="N1518" i="1"/>
  <c r="M1518" i="1"/>
  <c r="O1517" i="1"/>
  <c r="O1517" i="1" a="1"/>
  <c r="N1517" i="1"/>
  <c r="M1517" i="1"/>
  <c r="O1516" i="1" a="1"/>
  <c r="O1516" i="1" s="1"/>
  <c r="N1516" i="1"/>
  <c r="M1516" i="1"/>
  <c r="O1515" i="1" a="1"/>
  <c r="O1515" i="1" s="1"/>
  <c r="N1515" i="1"/>
  <c r="M1515" i="1"/>
  <c r="O1514" i="1" a="1"/>
  <c r="O1514" i="1" s="1"/>
  <c r="N1514" i="1"/>
  <c r="M1514" i="1"/>
  <c r="O1513" i="1"/>
  <c r="O1513" i="1" a="1"/>
  <c r="N1513" i="1"/>
  <c r="M1513" i="1"/>
  <c r="O1512" i="1"/>
  <c r="O1512" i="1" a="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c r="O1505" i="1" a="1"/>
  <c r="N1505" i="1"/>
  <c r="M1505" i="1"/>
  <c r="O1504" i="1" a="1"/>
  <c r="O1504" i="1" s="1"/>
  <c r="N1504" i="1"/>
  <c r="M1504" i="1"/>
  <c r="O1503" i="1" a="1"/>
  <c r="O1503" i="1" s="1"/>
  <c r="N1503" i="1"/>
  <c r="M1503" i="1"/>
  <c r="O1502" i="1" a="1"/>
  <c r="O1502" i="1" s="1"/>
  <c r="N1502" i="1"/>
  <c r="M1502" i="1"/>
  <c r="O1501" i="1"/>
  <c r="O1501" i="1" a="1"/>
  <c r="N1501" i="1"/>
  <c r="M1501" i="1"/>
  <c r="O1500" i="1"/>
  <c r="O1500" i="1" a="1"/>
  <c r="N1500" i="1"/>
  <c r="M1500" i="1"/>
  <c r="O1499" i="1" a="1"/>
  <c r="O1499" i="1" s="1"/>
  <c r="N1499" i="1"/>
  <c r="M1499" i="1"/>
  <c r="O1498" i="1"/>
  <c r="O1498" i="1" a="1"/>
  <c r="N1498" i="1"/>
  <c r="M1498" i="1"/>
  <c r="O1497" i="1" a="1"/>
  <c r="O1497" i="1" s="1"/>
  <c r="N1497" i="1"/>
  <c r="M1497" i="1"/>
  <c r="O1496" i="1" a="1"/>
  <c r="O1496" i="1" s="1"/>
  <c r="N1496" i="1"/>
  <c r="M1496" i="1"/>
  <c r="O1495" i="1"/>
  <c r="O1495" i="1" a="1"/>
  <c r="N1495" i="1"/>
  <c r="M1495" i="1"/>
  <c r="O1494" i="1" a="1"/>
  <c r="O1494" i="1" s="1"/>
  <c r="N1494" i="1"/>
  <c r="M1494" i="1"/>
  <c r="O1493" i="1" a="1"/>
  <c r="O1493" i="1" s="1"/>
  <c r="N1493" i="1"/>
  <c r="M1493" i="1"/>
  <c r="O1492" i="1" a="1"/>
  <c r="O1492" i="1" s="1"/>
  <c r="N1492" i="1"/>
  <c r="M1492" i="1"/>
  <c r="O1491" i="1"/>
  <c r="O1491" i="1" a="1"/>
  <c r="N1491" i="1"/>
  <c r="M1491" i="1"/>
  <c r="O1490" i="1" a="1"/>
  <c r="O1490" i="1" s="1"/>
  <c r="N1490" i="1"/>
  <c r="M1490" i="1"/>
  <c r="O1489" i="1" a="1"/>
  <c r="O1489" i="1" s="1"/>
  <c r="N1489" i="1"/>
  <c r="M1489" i="1"/>
  <c r="O1488" i="1"/>
  <c r="O1488" i="1" a="1"/>
  <c r="N1488" i="1"/>
  <c r="M1488" i="1"/>
  <c r="O1487" i="1" a="1"/>
  <c r="O1487" i="1" s="1"/>
  <c r="N1487" i="1"/>
  <c r="M1487" i="1"/>
  <c r="O1486" i="1" a="1"/>
  <c r="O1486" i="1" s="1"/>
  <c r="N1486" i="1"/>
  <c r="M1486" i="1"/>
  <c r="O1485" i="1"/>
  <c r="O1485" i="1" a="1"/>
  <c r="N1485" i="1"/>
  <c r="M1485" i="1"/>
  <c r="O1484" i="1"/>
  <c r="O1484" i="1" a="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c r="O1477" i="1" a="1"/>
  <c r="N1477" i="1"/>
  <c r="M1477" i="1"/>
  <c r="O1476" i="1" a="1"/>
  <c r="O1476" i="1" s="1"/>
  <c r="N1476" i="1"/>
  <c r="M1476" i="1"/>
  <c r="O1475" i="1" a="1"/>
  <c r="O1475" i="1" s="1"/>
  <c r="N1475" i="1"/>
  <c r="M1475" i="1"/>
  <c r="O1474" i="1" a="1"/>
  <c r="O1474" i="1" s="1"/>
  <c r="N1474" i="1"/>
  <c r="M1474" i="1"/>
  <c r="O1473" i="1" a="1"/>
  <c r="O1473" i="1" s="1"/>
  <c r="N1473" i="1"/>
  <c r="M1473" i="1"/>
  <c r="O1472" i="1"/>
  <c r="O1472" i="1" a="1"/>
  <c r="N1472" i="1"/>
  <c r="M1472" i="1"/>
  <c r="O1471" i="1"/>
  <c r="O1471" i="1" a="1"/>
  <c r="N1471" i="1"/>
  <c r="M1471" i="1"/>
  <c r="O1470" i="1"/>
  <c r="O1470" i="1" a="1"/>
  <c r="N1470" i="1"/>
  <c r="M1470" i="1"/>
  <c r="O1469" i="1" a="1"/>
  <c r="O1469" i="1" s="1"/>
  <c r="N1469" i="1"/>
  <c r="M1469" i="1"/>
  <c r="O1468" i="1" a="1"/>
  <c r="O1468" i="1" s="1"/>
  <c r="N1468" i="1"/>
  <c r="M1468" i="1"/>
  <c r="O1467" i="1" a="1"/>
  <c r="O1467" i="1" s="1"/>
  <c r="N1467" i="1"/>
  <c r="M1467" i="1"/>
  <c r="O1466" i="1"/>
  <c r="O1466" i="1" a="1"/>
  <c r="N1466" i="1"/>
  <c r="M1466" i="1"/>
  <c r="O1465" i="1" a="1"/>
  <c r="O1465" i="1" s="1"/>
  <c r="N1465" i="1"/>
  <c r="M1465" i="1"/>
  <c r="O1464" i="1" a="1"/>
  <c r="O1464" i="1" s="1"/>
  <c r="N1464" i="1"/>
  <c r="M1464" i="1"/>
  <c r="O1463" i="1"/>
  <c r="O1463" i="1" a="1"/>
  <c r="N1463" i="1"/>
  <c r="M1463" i="1"/>
  <c r="O1462" i="1" a="1"/>
  <c r="O1462" i="1" s="1"/>
  <c r="N1462" i="1"/>
  <c r="M1462" i="1"/>
  <c r="O1461" i="1" a="1"/>
  <c r="O1461" i="1" s="1"/>
  <c r="N1461" i="1"/>
  <c r="M1461" i="1"/>
  <c r="O1460" i="1"/>
  <c r="O1460" i="1" a="1"/>
  <c r="N1460" i="1"/>
  <c r="M1460" i="1"/>
  <c r="O1459" i="1"/>
  <c r="O1459" i="1" a="1"/>
  <c r="N1459" i="1"/>
  <c r="M1459" i="1"/>
  <c r="O1458" i="1" a="1"/>
  <c r="O1458" i="1" s="1"/>
  <c r="N1458" i="1"/>
  <c r="M1458" i="1"/>
  <c r="O1457" i="1" a="1"/>
  <c r="O1457" i="1" s="1"/>
  <c r="N1457" i="1"/>
  <c r="M1457" i="1"/>
  <c r="O1456" i="1"/>
  <c r="O1456" i="1" a="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c r="O1449" i="1" a="1"/>
  <c r="N1449" i="1"/>
  <c r="M1449" i="1"/>
  <c r="O1448" i="1" a="1"/>
  <c r="O1448" i="1" s="1"/>
  <c r="N1448" i="1"/>
  <c r="M1448" i="1"/>
  <c r="O1447" i="1" a="1"/>
  <c r="O1447" i="1" s="1"/>
  <c r="N1447" i="1"/>
  <c r="M1447" i="1"/>
  <c r="O1446" i="1"/>
  <c r="O1446" i="1" a="1"/>
  <c r="N1446" i="1"/>
  <c r="M1446" i="1"/>
  <c r="O1445" i="1" a="1"/>
  <c r="O1445" i="1" s="1"/>
  <c r="N1445" i="1"/>
  <c r="M1445" i="1"/>
  <c r="O1444" i="1" a="1"/>
  <c r="O1444" i="1" s="1"/>
  <c r="N1444" i="1"/>
  <c r="M1444" i="1"/>
  <c r="O1443" i="1"/>
  <c r="O1443" i="1" a="1"/>
  <c r="N1443" i="1"/>
  <c r="M1443" i="1"/>
  <c r="O1442" i="1"/>
  <c r="O1442" i="1" a="1"/>
  <c r="N1442" i="1"/>
  <c r="M1442" i="1"/>
  <c r="O1441" i="1" a="1"/>
  <c r="O1441" i="1" s="1"/>
  <c r="N1441" i="1"/>
  <c r="M1441" i="1"/>
  <c r="O1440" i="1"/>
  <c r="O1440" i="1" a="1"/>
  <c r="N1440" i="1"/>
  <c r="M1440" i="1"/>
  <c r="O1439" i="1" a="1"/>
  <c r="O1439" i="1" s="1"/>
  <c r="N1439" i="1"/>
  <c r="M1439" i="1"/>
  <c r="O1438" i="1" a="1"/>
  <c r="O1438" i="1" s="1"/>
  <c r="N1438" i="1"/>
  <c r="M1438" i="1"/>
  <c r="O1437" i="1"/>
  <c r="O1437" i="1" a="1"/>
  <c r="N1437" i="1"/>
  <c r="M1437" i="1"/>
  <c r="O1436" i="1" a="1"/>
  <c r="O1436" i="1" s="1"/>
  <c r="N1436" i="1"/>
  <c r="M1436" i="1"/>
  <c r="O1435" i="1"/>
  <c r="O1435" i="1" a="1"/>
  <c r="N1435" i="1"/>
  <c r="M1435" i="1"/>
  <c r="O1434" i="1" a="1"/>
  <c r="O1434" i="1" s="1"/>
  <c r="N1434" i="1"/>
  <c r="M1434" i="1"/>
  <c r="O1433" i="1" a="1"/>
  <c r="O1433" i="1" s="1"/>
  <c r="N1433" i="1"/>
  <c r="M1433" i="1"/>
  <c r="O1432" i="1"/>
  <c r="O1432" i="1" a="1"/>
  <c r="N1432" i="1"/>
  <c r="M1432" i="1"/>
  <c r="O1431" i="1"/>
  <c r="O1431" i="1" a="1"/>
  <c r="N1431" i="1"/>
  <c r="M1431" i="1"/>
  <c r="O1430" i="1"/>
  <c r="O1430" i="1" a="1"/>
  <c r="N1430" i="1"/>
  <c r="M1430" i="1"/>
  <c r="O1429" i="1" a="1"/>
  <c r="O1429" i="1" s="1"/>
  <c r="N1429" i="1"/>
  <c r="M1429" i="1"/>
  <c r="O1428" i="1"/>
  <c r="O1428" i="1" a="1"/>
  <c r="N1428" i="1"/>
  <c r="M1428" i="1"/>
  <c r="O1427" i="1" a="1"/>
  <c r="O1427" i="1" s="1"/>
  <c r="N1427" i="1"/>
  <c r="M1427" i="1"/>
  <c r="O1426" i="1"/>
  <c r="O1426" i="1" a="1"/>
  <c r="N1426" i="1"/>
  <c r="M1426" i="1"/>
  <c r="O1425" i="1" a="1"/>
  <c r="O1425" i="1" s="1"/>
  <c r="N1425" i="1"/>
  <c r="M1425" i="1"/>
  <c r="O1424" i="1" a="1"/>
  <c r="O1424" i="1" s="1"/>
  <c r="N1424" i="1"/>
  <c r="M1424" i="1"/>
  <c r="O1423" i="1" a="1"/>
  <c r="O1423" i="1" s="1"/>
  <c r="N1423" i="1"/>
  <c r="M1423" i="1"/>
  <c r="O1422" i="1" a="1"/>
  <c r="O1422" i="1" s="1"/>
  <c r="N1422" i="1"/>
  <c r="M1422" i="1"/>
  <c r="O1421" i="1"/>
  <c r="O1421" i="1" a="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c r="O1414" i="1" a="1"/>
  <c r="N1414" i="1"/>
  <c r="M1414" i="1"/>
  <c r="O1413" i="1" a="1"/>
  <c r="O1413" i="1" s="1"/>
  <c r="N1413" i="1"/>
  <c r="M1413" i="1"/>
  <c r="O1412" i="1"/>
  <c r="O1412" i="1" a="1"/>
  <c r="N1412" i="1"/>
  <c r="M1412" i="1"/>
  <c r="O1411" i="1"/>
  <c r="O1411" i="1" a="1"/>
  <c r="N1411" i="1"/>
  <c r="M1411" i="1"/>
  <c r="O1410" i="1" a="1"/>
  <c r="O1410" i="1" s="1"/>
  <c r="N1410" i="1"/>
  <c r="M1410" i="1"/>
  <c r="O1409" i="1"/>
  <c r="O1409" i="1" a="1"/>
  <c r="N1409" i="1"/>
  <c r="M1409" i="1"/>
  <c r="O1408" i="1"/>
  <c r="O1408" i="1" a="1"/>
  <c r="N1408" i="1"/>
  <c r="M1408" i="1"/>
  <c r="O1407" i="1"/>
  <c r="O1407" i="1" a="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c r="O1401" i="1" a="1"/>
  <c r="N1401" i="1"/>
  <c r="M1401" i="1"/>
  <c r="O1400" i="1"/>
  <c r="O1400" i="1" a="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c r="O1394" i="1" a="1"/>
  <c r="N1394" i="1"/>
  <c r="M1394" i="1"/>
  <c r="O1393" i="1"/>
  <c r="O1393" i="1" a="1"/>
  <c r="N1393" i="1"/>
  <c r="M1393" i="1"/>
  <c r="O1392" i="1" a="1"/>
  <c r="O1392" i="1" s="1"/>
  <c r="N1392" i="1"/>
  <c r="M1392" i="1"/>
  <c r="O1391" i="1"/>
  <c r="O1391" i="1" a="1"/>
  <c r="N1391" i="1"/>
  <c r="M1391" i="1"/>
  <c r="O1390" i="1"/>
  <c r="O1390" i="1" a="1"/>
  <c r="N1390" i="1"/>
  <c r="M1390" i="1"/>
  <c r="O1389" i="1" a="1"/>
  <c r="O1389" i="1" s="1"/>
  <c r="N1389" i="1"/>
  <c r="M1389" i="1"/>
  <c r="O1388" i="1"/>
  <c r="O1388" i="1" a="1"/>
  <c r="N1388" i="1"/>
  <c r="M1388" i="1"/>
  <c r="O1387" i="1"/>
  <c r="O1387" i="1" a="1"/>
  <c r="N1387" i="1"/>
  <c r="M1387" i="1"/>
  <c r="O1386" i="1"/>
  <c r="O1386" i="1" a="1"/>
  <c r="N1386" i="1"/>
  <c r="M1386" i="1"/>
  <c r="O1385" i="1" a="1"/>
  <c r="O1385" i="1" s="1"/>
  <c r="N1385" i="1"/>
  <c r="M1385" i="1"/>
  <c r="O1384" i="1"/>
  <c r="O1384" i="1" a="1"/>
  <c r="N1384" i="1"/>
  <c r="M1384" i="1"/>
  <c r="O1383" i="1" a="1"/>
  <c r="O1383" i="1" s="1"/>
  <c r="N1383" i="1"/>
  <c r="M1383" i="1"/>
  <c r="O1382" i="1"/>
  <c r="O1382" i="1" a="1"/>
  <c r="N1382" i="1"/>
  <c r="M1382" i="1"/>
  <c r="O1381" i="1"/>
  <c r="O1381" i="1" a="1"/>
  <c r="N1381" i="1"/>
  <c r="M1381" i="1"/>
  <c r="O1380" i="1" a="1"/>
  <c r="O1380" i="1" s="1"/>
  <c r="N1380" i="1"/>
  <c r="M1380" i="1"/>
  <c r="O1379" i="1"/>
  <c r="O1379" i="1" a="1"/>
  <c r="N1379" i="1"/>
  <c r="M1379" i="1"/>
  <c r="O1378" i="1" a="1"/>
  <c r="O1378" i="1" s="1"/>
  <c r="N1378" i="1"/>
  <c r="M1378" i="1"/>
  <c r="O1377" i="1" a="1"/>
  <c r="O1377" i="1" s="1"/>
  <c r="N1377" i="1"/>
  <c r="M1377" i="1"/>
  <c r="O1376" i="1" a="1"/>
  <c r="O1376" i="1" s="1"/>
  <c r="N1376" i="1"/>
  <c r="M1376" i="1"/>
  <c r="O1375" i="1"/>
  <c r="O1375" i="1" a="1"/>
  <c r="N1375" i="1"/>
  <c r="M1375" i="1"/>
  <c r="O1374" i="1" a="1"/>
  <c r="O1374" i="1" s="1"/>
  <c r="N1374" i="1"/>
  <c r="M1374" i="1"/>
  <c r="O1373" i="1" a="1"/>
  <c r="O1373" i="1" s="1"/>
  <c r="N1373" i="1"/>
  <c r="M1373" i="1"/>
  <c r="O1372" i="1"/>
  <c r="O1372" i="1" a="1"/>
  <c r="N1372" i="1"/>
  <c r="M1372" i="1"/>
  <c r="O1371" i="1" a="1"/>
  <c r="O1371" i="1" s="1"/>
  <c r="N1371" i="1"/>
  <c r="M1371" i="1"/>
  <c r="O1370" i="1" a="1"/>
  <c r="O1370" i="1" s="1"/>
  <c r="N1370" i="1"/>
  <c r="M1370" i="1"/>
  <c r="O1369" i="1" a="1"/>
  <c r="O1369" i="1" s="1"/>
  <c r="N1369" i="1"/>
  <c r="M1369" i="1"/>
  <c r="O1368" i="1"/>
  <c r="O1368" i="1" a="1"/>
  <c r="N1368" i="1"/>
  <c r="M1368" i="1"/>
  <c r="O1367" i="1" a="1"/>
  <c r="O1367" i="1" s="1"/>
  <c r="N1367" i="1"/>
  <c r="M1367" i="1"/>
  <c r="O1366" i="1" a="1"/>
  <c r="O1366" i="1" s="1"/>
  <c r="N1366" i="1"/>
  <c r="M1366" i="1"/>
  <c r="O1365" i="1"/>
  <c r="O1365" i="1" a="1"/>
  <c r="N1365" i="1"/>
  <c r="M1365" i="1"/>
  <c r="O1364" i="1" a="1"/>
  <c r="O1364" i="1" s="1"/>
  <c r="N1364" i="1"/>
  <c r="M1364" i="1"/>
  <c r="O1363" i="1"/>
  <c r="O1363" i="1" a="1"/>
  <c r="N1363" i="1"/>
  <c r="M1363" i="1"/>
  <c r="O1362" i="1"/>
  <c r="O1362" i="1" a="1"/>
  <c r="N1362" i="1"/>
  <c r="M1362" i="1"/>
  <c r="O1361" i="1" a="1"/>
  <c r="O1361" i="1" s="1"/>
  <c r="N1361" i="1"/>
  <c r="M1361" i="1"/>
  <c r="O1360" i="1" a="1"/>
  <c r="O1360" i="1" s="1"/>
  <c r="N1360" i="1"/>
  <c r="M1360" i="1"/>
  <c r="O1359" i="1" a="1"/>
  <c r="O1359" i="1" s="1"/>
  <c r="N1359" i="1"/>
  <c r="M1359" i="1"/>
  <c r="O1358" i="1"/>
  <c r="O1358" i="1" a="1"/>
  <c r="N1358" i="1"/>
  <c r="M1358" i="1"/>
  <c r="O1357" i="1" a="1"/>
  <c r="O1357" i="1" s="1"/>
  <c r="N1357" i="1"/>
  <c r="M1357" i="1"/>
  <c r="O1356" i="1"/>
  <c r="O1356" i="1" a="1"/>
  <c r="N1356" i="1"/>
  <c r="M1356" i="1"/>
  <c r="O1355" i="1"/>
  <c r="O1355" i="1" a="1"/>
  <c r="N1355" i="1"/>
  <c r="M1355" i="1"/>
  <c r="O1354" i="1" a="1"/>
  <c r="O1354" i="1" s="1"/>
  <c r="N1354" i="1"/>
  <c r="M1354" i="1"/>
  <c r="O1353" i="1"/>
  <c r="O1353" i="1" a="1"/>
  <c r="N1353" i="1"/>
  <c r="M1353" i="1"/>
  <c r="O1352" i="1"/>
  <c r="O1352" i="1" a="1"/>
  <c r="N1352" i="1"/>
  <c r="M1352" i="1"/>
  <c r="O1351" i="1"/>
  <c r="O1351" i="1" a="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c r="O1344" i="1" a="1"/>
  <c r="N1344" i="1"/>
  <c r="M1344" i="1"/>
  <c r="O1343" i="1"/>
  <c r="O1343" i="1" a="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c r="O1337" i="1" a="1"/>
  <c r="N1337" i="1"/>
  <c r="M1337" i="1"/>
  <c r="O1336" i="1"/>
  <c r="O1336" i="1" a="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c r="O1330" i="1" a="1"/>
  <c r="N1330" i="1"/>
  <c r="M1330" i="1"/>
  <c r="O1329" i="1"/>
  <c r="O1329" i="1" a="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c r="O1323" i="1" a="1"/>
  <c r="N1323" i="1"/>
  <c r="M1323" i="1"/>
  <c r="O1322" i="1"/>
  <c r="O1322" i="1" a="1"/>
  <c r="N1322" i="1"/>
  <c r="M1322" i="1"/>
  <c r="O1321" i="1" a="1"/>
  <c r="O1321" i="1" s="1"/>
  <c r="N1321" i="1"/>
  <c r="M1321" i="1"/>
  <c r="O1320" i="1" a="1"/>
  <c r="O1320" i="1" s="1"/>
  <c r="N1320" i="1"/>
  <c r="M1320" i="1"/>
  <c r="O1319" i="1"/>
  <c r="O1319" i="1" a="1"/>
  <c r="N1319" i="1"/>
  <c r="M1319" i="1"/>
  <c r="O1318" i="1" a="1"/>
  <c r="O1318" i="1" s="1"/>
  <c r="N1318" i="1"/>
  <c r="M1318" i="1"/>
  <c r="O1317" i="1" a="1"/>
  <c r="O1317" i="1" s="1"/>
  <c r="N1317" i="1"/>
  <c r="M1317" i="1"/>
  <c r="O1316" i="1"/>
  <c r="O1316" i="1" a="1"/>
  <c r="N1316" i="1"/>
  <c r="M1316" i="1"/>
  <c r="O1315" i="1"/>
  <c r="O1315" i="1" a="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c r="O1309" i="1" a="1"/>
  <c r="N1309" i="1"/>
  <c r="M1309" i="1"/>
  <c r="O1308" i="1"/>
  <c r="O1308" i="1" a="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c r="O1302" i="1" a="1"/>
  <c r="N1302" i="1"/>
  <c r="M1302" i="1"/>
  <c r="O1301" i="1"/>
  <c r="O1301" i="1" a="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c r="O1295" i="1" a="1"/>
  <c r="N1295" i="1"/>
  <c r="M1295" i="1"/>
  <c r="O1294" i="1"/>
  <c r="O1294" i="1" a="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c r="O1288" i="1" a="1"/>
  <c r="N1288" i="1"/>
  <c r="M1288" i="1"/>
  <c r="O1287" i="1"/>
  <c r="O1287" i="1" a="1"/>
  <c r="N1287" i="1"/>
  <c r="M1287" i="1"/>
  <c r="O1286" i="1" a="1"/>
  <c r="O1286" i="1" s="1"/>
  <c r="N1286" i="1"/>
  <c r="M1286" i="1"/>
  <c r="O1285" i="1" a="1"/>
  <c r="O1285" i="1" s="1"/>
  <c r="N1285" i="1"/>
  <c r="M1285" i="1"/>
  <c r="O1284" i="1"/>
  <c r="O1284" i="1" a="1"/>
  <c r="N1284" i="1"/>
  <c r="M1284" i="1"/>
  <c r="O1283" i="1" a="1"/>
  <c r="O1283" i="1" s="1"/>
  <c r="N1283" i="1"/>
  <c r="M1283" i="1"/>
  <c r="O1282" i="1" a="1"/>
  <c r="O1282" i="1" s="1"/>
  <c r="N1282" i="1"/>
  <c r="M1282" i="1"/>
  <c r="O1281" i="1"/>
  <c r="O1281" i="1" a="1"/>
  <c r="N1281" i="1"/>
  <c r="M1281" i="1"/>
  <c r="O1280" i="1"/>
  <c r="O1280" i="1" a="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c r="O1274" i="1" a="1"/>
  <c r="N1274" i="1"/>
  <c r="M1274" i="1"/>
  <c r="O1273" i="1"/>
  <c r="O1273" i="1" a="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c r="O1267" i="1" a="1"/>
  <c r="N1267" i="1"/>
  <c r="M1267" i="1"/>
  <c r="O1266" i="1"/>
  <c r="O1266" i="1" a="1"/>
  <c r="N1266" i="1"/>
  <c r="M1266" i="1"/>
  <c r="O1265" i="1" a="1"/>
  <c r="O1265" i="1" s="1"/>
  <c r="N1265" i="1"/>
  <c r="M1265" i="1"/>
  <c r="O1264" i="1" a="1"/>
  <c r="O1264" i="1" s="1"/>
  <c r="N1264" i="1"/>
  <c r="M1264" i="1"/>
  <c r="O1263" i="1"/>
  <c r="O1263" i="1" a="1"/>
  <c r="N1263" i="1"/>
  <c r="M1263" i="1"/>
  <c r="O1262" i="1" a="1"/>
  <c r="O1262" i="1" s="1"/>
  <c r="N1262" i="1"/>
  <c r="M1262" i="1"/>
  <c r="O1261" i="1" a="1"/>
  <c r="O1261" i="1" s="1"/>
  <c r="N1261" i="1"/>
  <c r="M1261" i="1"/>
  <c r="O1260" i="1"/>
  <c r="O1260" i="1" a="1"/>
  <c r="N1260" i="1"/>
  <c r="M1260" i="1"/>
  <c r="O1259" i="1"/>
  <c r="O1259" i="1" a="1"/>
  <c r="N1259" i="1"/>
  <c r="M1259" i="1"/>
  <c r="O1258" i="1" a="1"/>
  <c r="O1258" i="1" s="1"/>
  <c r="N1258" i="1"/>
  <c r="M1258" i="1"/>
  <c r="O1257" i="1" a="1"/>
  <c r="O1257" i="1" s="1"/>
  <c r="N1257" i="1"/>
  <c r="M1257" i="1"/>
  <c r="O1256" i="1" a="1"/>
  <c r="O1256" i="1" s="1"/>
  <c r="N1256" i="1"/>
  <c r="M1256" i="1"/>
  <c r="O1255" i="1"/>
  <c r="O1255" i="1" a="1"/>
  <c r="N1255" i="1"/>
  <c r="M1255" i="1"/>
  <c r="O1254" i="1" a="1"/>
  <c r="O1254" i="1" s="1"/>
  <c r="N1254" i="1"/>
  <c r="M1254" i="1"/>
  <c r="O1253" i="1"/>
  <c r="O1253" i="1" a="1"/>
  <c r="N1253" i="1"/>
  <c r="M1253" i="1"/>
  <c r="O1252" i="1"/>
  <c r="O1252" i="1" a="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c r="O1246" i="1" a="1"/>
  <c r="N1246" i="1"/>
  <c r="M1246" i="1"/>
  <c r="O1245" i="1"/>
  <c r="O1245" i="1" a="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c r="O1239" i="1" a="1"/>
  <c r="N1239" i="1"/>
  <c r="M1239" i="1"/>
  <c r="O1238" i="1"/>
  <c r="O1238" i="1" a="1"/>
  <c r="N1238" i="1"/>
  <c r="M1238" i="1"/>
  <c r="O1237" i="1" a="1"/>
  <c r="O1237" i="1" s="1"/>
  <c r="N1237" i="1"/>
  <c r="M1237" i="1"/>
  <c r="O1236" i="1" a="1"/>
  <c r="O1236" i="1" s="1"/>
  <c r="N1236" i="1"/>
  <c r="M1236" i="1"/>
  <c r="O1235" i="1" a="1"/>
  <c r="O1235" i="1" s="1"/>
  <c r="N1235" i="1"/>
  <c r="M1235" i="1"/>
  <c r="O1234" i="1" a="1"/>
  <c r="O1234" i="1" s="1"/>
  <c r="N1234" i="1"/>
  <c r="M1234" i="1"/>
  <c r="O1233" i="1"/>
  <c r="O1233" i="1" a="1"/>
  <c r="N1233" i="1"/>
  <c r="M1233" i="1"/>
  <c r="O1232" i="1"/>
  <c r="O1232" i="1" a="1"/>
  <c r="N1232" i="1"/>
  <c r="M1232" i="1"/>
  <c r="O1231" i="1"/>
  <c r="O1231" i="1" a="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c r="O1225" i="1" a="1"/>
  <c r="N1225" i="1"/>
  <c r="M1225" i="1"/>
  <c r="O1224" i="1"/>
  <c r="O1224" i="1" a="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c r="O1218" i="1" a="1"/>
  <c r="N1218" i="1"/>
  <c r="M1218" i="1"/>
  <c r="O1217" i="1"/>
  <c r="O1217" i="1" a="1"/>
  <c r="N1217" i="1"/>
  <c r="M1217" i="1"/>
  <c r="O1216" i="1" a="1"/>
  <c r="O1216" i="1" s="1"/>
  <c r="N1216" i="1"/>
  <c r="M1216" i="1"/>
  <c r="O1215" i="1" a="1"/>
  <c r="O1215" i="1" s="1"/>
  <c r="N1215" i="1"/>
  <c r="M1215" i="1"/>
  <c r="O1214" i="1" a="1"/>
  <c r="O1214" i="1" s="1"/>
  <c r="N1214" i="1"/>
  <c r="M1214" i="1"/>
  <c r="O1213" i="1"/>
  <c r="O1213" i="1" a="1"/>
  <c r="N1213" i="1"/>
  <c r="M1213" i="1"/>
  <c r="O1212" i="1" a="1"/>
  <c r="O1212" i="1" s="1"/>
  <c r="N1212" i="1"/>
  <c r="M1212" i="1"/>
  <c r="O1211" i="1"/>
  <c r="O1211" i="1" a="1"/>
  <c r="N1211" i="1"/>
  <c r="M1211" i="1"/>
  <c r="O1210" i="1"/>
  <c r="O1210" i="1" a="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c r="O1204" i="1" a="1"/>
  <c r="N1204" i="1"/>
  <c r="M1204" i="1"/>
  <c r="O1203" i="1"/>
  <c r="O1203" i="1" a="1"/>
  <c r="N1203" i="1"/>
  <c r="M1203" i="1"/>
  <c r="O1202" i="1" a="1"/>
  <c r="O1202" i="1" s="1"/>
  <c r="N1202" i="1"/>
  <c r="M1202" i="1"/>
  <c r="O1201" i="1" a="1"/>
  <c r="O1201" i="1" s="1"/>
  <c r="N1201" i="1"/>
  <c r="M1201" i="1"/>
  <c r="O1200" i="1" a="1"/>
  <c r="O1200" i="1" s="1"/>
  <c r="N1200" i="1"/>
  <c r="M1200" i="1"/>
  <c r="O1199" i="1" a="1"/>
  <c r="O1199" i="1" s="1"/>
  <c r="N1199" i="1"/>
  <c r="M1199" i="1"/>
  <c r="O1198" i="1"/>
  <c r="O1198" i="1" a="1"/>
  <c r="N1198" i="1"/>
  <c r="M1198" i="1"/>
  <c r="O1197" i="1"/>
  <c r="O1197" i="1" a="1"/>
  <c r="N1197" i="1"/>
  <c r="M1197" i="1"/>
  <c r="O1196" i="1"/>
  <c r="O1196" i="1" a="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c r="O1190" i="1" a="1"/>
  <c r="N1190" i="1"/>
  <c r="M1190" i="1"/>
  <c r="O1189" i="1"/>
  <c r="O1189" i="1" a="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c r="O1183" i="1" a="1"/>
  <c r="N1183" i="1"/>
  <c r="M1183" i="1"/>
  <c r="O1182" i="1"/>
  <c r="O1182" i="1" a="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c r="O1176" i="1" a="1"/>
  <c r="N1176" i="1"/>
  <c r="M1176" i="1"/>
  <c r="O1175" i="1"/>
  <c r="O1175" i="1" a="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c r="O1169" i="1" a="1"/>
  <c r="N1169" i="1"/>
  <c r="M1169" i="1"/>
  <c r="O1168" i="1"/>
  <c r="O1168" i="1" a="1"/>
  <c r="N1168" i="1"/>
  <c r="M1168" i="1"/>
  <c r="O1167" i="1" a="1"/>
  <c r="O1167" i="1" s="1"/>
  <c r="N1167" i="1"/>
  <c r="M1167" i="1"/>
  <c r="O1166" i="1" a="1"/>
  <c r="O1166" i="1" s="1"/>
  <c r="N1166" i="1"/>
  <c r="M1166" i="1"/>
  <c r="O1165" i="1"/>
  <c r="O1165" i="1" a="1"/>
  <c r="N1165" i="1"/>
  <c r="M1165" i="1"/>
  <c r="O1164" i="1" a="1"/>
  <c r="O1164" i="1" s="1"/>
  <c r="N1164" i="1"/>
  <c r="M1164" i="1"/>
  <c r="O1163" i="1" a="1"/>
  <c r="O1163" i="1" s="1"/>
  <c r="N1163" i="1"/>
  <c r="M1163" i="1"/>
  <c r="O1162" i="1"/>
  <c r="O1162" i="1" a="1"/>
  <c r="N1162" i="1"/>
  <c r="M1162" i="1"/>
  <c r="O1161" i="1"/>
  <c r="O1161" i="1" a="1"/>
  <c r="N1161" i="1"/>
  <c r="M1161" i="1"/>
  <c r="O1160" i="1" a="1"/>
  <c r="O1160" i="1" s="1"/>
  <c r="N1160" i="1"/>
  <c r="M1160" i="1"/>
  <c r="O1159" i="1" a="1"/>
  <c r="O1159" i="1" s="1"/>
  <c r="N1159" i="1"/>
  <c r="M1159" i="1"/>
  <c r="O1158" i="1" a="1"/>
  <c r="O1158" i="1" s="1"/>
  <c r="N1158" i="1"/>
  <c r="M1158" i="1"/>
  <c r="O1157" i="1"/>
  <c r="O1157" i="1" a="1"/>
  <c r="N1157" i="1"/>
  <c r="M1157" i="1"/>
  <c r="O1156" i="1" a="1"/>
  <c r="O1156" i="1" s="1"/>
  <c r="N1156" i="1"/>
  <c r="M1156" i="1"/>
  <c r="O1155" i="1"/>
  <c r="O1155" i="1" a="1"/>
  <c r="N1155" i="1"/>
  <c r="M1155" i="1"/>
  <c r="O1154" i="1"/>
  <c r="O1154" i="1" a="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c r="O1148" i="1" a="1"/>
  <c r="N1148" i="1"/>
  <c r="M1148" i="1"/>
  <c r="O1147" i="1"/>
  <c r="O1147" i="1" a="1"/>
  <c r="N1147" i="1"/>
  <c r="M1147" i="1"/>
  <c r="O1146" i="1" a="1"/>
  <c r="O1146" i="1" s="1"/>
  <c r="N1146" i="1"/>
  <c r="M1146" i="1"/>
  <c r="O1145" i="1" a="1"/>
  <c r="O1145" i="1" s="1"/>
  <c r="N1145" i="1"/>
  <c r="M1145" i="1"/>
  <c r="O1144" i="1" a="1"/>
  <c r="O1144" i="1" s="1"/>
  <c r="N1144" i="1"/>
  <c r="M1144" i="1"/>
  <c r="O1143" i="1" a="1"/>
  <c r="O1143" i="1" s="1"/>
  <c r="N1143" i="1"/>
  <c r="M1143" i="1"/>
  <c r="O1142" i="1"/>
  <c r="O1142" i="1" a="1"/>
  <c r="N1142" i="1"/>
  <c r="M1142" i="1"/>
  <c r="O1141" i="1"/>
  <c r="O1141" i="1" a="1"/>
  <c r="N1141" i="1"/>
  <c r="M1141" i="1"/>
  <c r="O1140" i="1"/>
  <c r="O1140" i="1" a="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c r="O1134" i="1" a="1"/>
  <c r="N1134" i="1"/>
  <c r="M1134" i="1"/>
  <c r="O1133" i="1"/>
  <c r="O1133" i="1" a="1"/>
  <c r="N1133" i="1"/>
  <c r="M1133" i="1"/>
  <c r="O1132" i="1" a="1"/>
  <c r="O1132" i="1" s="1"/>
  <c r="N1132" i="1"/>
  <c r="M1132" i="1"/>
  <c r="O1131" i="1" a="1"/>
  <c r="O1131" i="1" s="1"/>
  <c r="N1131" i="1"/>
  <c r="M1131" i="1"/>
  <c r="O1130" i="1"/>
  <c r="O1130" i="1" a="1"/>
  <c r="N1130" i="1"/>
  <c r="M1130" i="1"/>
  <c r="O1129" i="1" a="1"/>
  <c r="O1129" i="1" s="1"/>
  <c r="N1129" i="1"/>
  <c r="M1129" i="1"/>
  <c r="O1128" i="1" a="1"/>
  <c r="O1128" i="1" s="1"/>
  <c r="N1128" i="1"/>
  <c r="M1128" i="1"/>
  <c r="O1127" i="1"/>
  <c r="O1127" i="1" a="1"/>
  <c r="N1127" i="1"/>
  <c r="M1127" i="1"/>
  <c r="O1126" i="1"/>
  <c r="O1126" i="1" a="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c r="O1120" i="1" a="1"/>
  <c r="N1120" i="1"/>
  <c r="M1120" i="1"/>
  <c r="O1119" i="1"/>
  <c r="O1119" i="1" a="1"/>
  <c r="N1119" i="1"/>
  <c r="M1119" i="1"/>
  <c r="O1118" i="1" a="1"/>
  <c r="O1118" i="1" s="1"/>
  <c r="N1118" i="1"/>
  <c r="M1118" i="1"/>
  <c r="O1117" i="1" a="1"/>
  <c r="O1117" i="1" s="1"/>
  <c r="N1117" i="1"/>
  <c r="M1117" i="1"/>
  <c r="O1116" i="1" a="1"/>
  <c r="O1116" i="1" s="1"/>
  <c r="N1116" i="1"/>
  <c r="M1116" i="1"/>
  <c r="O1115" i="1"/>
  <c r="O1115" i="1" a="1"/>
  <c r="N1115" i="1"/>
  <c r="M1115" i="1"/>
  <c r="O1114" i="1"/>
  <c r="O1114" i="1" a="1"/>
  <c r="N1114" i="1"/>
  <c r="M1114" i="1"/>
  <c r="O1113" i="1"/>
  <c r="O1113" i="1" a="1"/>
  <c r="N1113" i="1"/>
  <c r="M1113" i="1"/>
  <c r="O1112" i="1"/>
  <c r="O1112" i="1" a="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c r="O1106" i="1" a="1"/>
  <c r="N1106" i="1"/>
  <c r="M1106" i="1"/>
  <c r="O1105" i="1"/>
  <c r="O1105" i="1" a="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c r="O1099" i="1" a="1"/>
  <c r="N1099" i="1"/>
  <c r="M1099" i="1"/>
  <c r="O1098" i="1"/>
  <c r="O1098" i="1" a="1"/>
  <c r="N1098" i="1"/>
  <c r="M1098" i="1"/>
  <c r="O1097" i="1" a="1"/>
  <c r="O1097" i="1" s="1"/>
  <c r="N1097" i="1"/>
  <c r="M1097" i="1"/>
  <c r="O1096" i="1" a="1"/>
  <c r="O1096" i="1" s="1"/>
  <c r="N1096" i="1"/>
  <c r="M1096" i="1"/>
  <c r="O1095" i="1" a="1"/>
  <c r="O1095" i="1" s="1"/>
  <c r="N1095" i="1"/>
  <c r="M1095" i="1"/>
  <c r="O1094" i="1"/>
  <c r="O1094" i="1" a="1"/>
  <c r="N1094" i="1"/>
  <c r="M1094" i="1"/>
  <c r="O1093" i="1" a="1"/>
  <c r="O1093" i="1" s="1"/>
  <c r="N1093" i="1"/>
  <c r="M1093" i="1"/>
  <c r="O1092" i="1"/>
  <c r="O1092" i="1" a="1"/>
  <c r="N1092" i="1"/>
  <c r="M1092" i="1"/>
  <c r="O1091" i="1"/>
  <c r="O1091" i="1" a="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c r="O1085" i="1" a="1"/>
  <c r="N1085" i="1"/>
  <c r="M1085" i="1"/>
  <c r="O1084" i="1"/>
  <c r="O1084" i="1" a="1"/>
  <c r="N1084" i="1"/>
  <c r="M1084" i="1"/>
  <c r="O1083" i="1" a="1"/>
  <c r="O1083" i="1" s="1"/>
  <c r="N1083" i="1"/>
  <c r="M1083" i="1"/>
  <c r="O1082" i="1" a="1"/>
  <c r="O1082" i="1" s="1"/>
  <c r="N1082" i="1"/>
  <c r="M1082" i="1"/>
  <c r="O1081" i="1" a="1"/>
  <c r="O1081" i="1" s="1"/>
  <c r="N1081" i="1"/>
  <c r="M1081" i="1"/>
  <c r="O1080" i="1" a="1"/>
  <c r="O1080" i="1" s="1"/>
  <c r="N1080" i="1"/>
  <c r="M1080" i="1"/>
  <c r="O1079" i="1"/>
  <c r="O1079" i="1" a="1"/>
  <c r="N1079" i="1"/>
  <c r="M1079" i="1"/>
  <c r="O1078" i="1"/>
  <c r="O1078" i="1" a="1"/>
  <c r="N1078" i="1"/>
  <c r="M1078" i="1"/>
  <c r="O1077" i="1"/>
  <c r="O1077" i="1" a="1"/>
  <c r="N1077" i="1"/>
  <c r="M1077" i="1"/>
  <c r="O1076" i="1" a="1"/>
  <c r="O1076" i="1" s="1"/>
  <c r="N1076" i="1"/>
  <c r="M1076" i="1"/>
  <c r="O1075" i="1" a="1"/>
  <c r="O1075" i="1" s="1"/>
  <c r="N1075" i="1"/>
  <c r="M1075" i="1"/>
  <c r="O1074" i="1" a="1"/>
  <c r="O1074" i="1" s="1"/>
  <c r="N1074" i="1"/>
  <c r="M1074" i="1"/>
  <c r="O1073" i="1"/>
  <c r="O1073" i="1" a="1"/>
  <c r="N1073" i="1"/>
  <c r="M1073" i="1"/>
  <c r="O1072" i="1" a="1"/>
  <c r="O1072" i="1" s="1"/>
  <c r="N1072" i="1"/>
  <c r="M1072" i="1"/>
  <c r="O1071" i="1"/>
  <c r="O1071" i="1" a="1"/>
  <c r="N1071" i="1"/>
  <c r="M1071" i="1"/>
  <c r="O1070" i="1"/>
  <c r="O1070" i="1" a="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c r="O1064" i="1" a="1"/>
  <c r="N1064" i="1"/>
  <c r="M1064" i="1"/>
  <c r="O1063" i="1"/>
  <c r="O1063" i="1" a="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c r="O1056" i="1" a="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c r="O1049" i="1" a="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c r="O1042" i="1" a="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c r="O1035" i="1" a="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c r="O1028" i="1" a="1"/>
  <c r="N1028" i="1"/>
  <c r="M1028" i="1"/>
  <c r="O1027" i="1" a="1"/>
  <c r="O1027" i="1" s="1"/>
  <c r="N1027" i="1"/>
  <c r="M1027" i="1"/>
  <c r="O1026" i="1" a="1"/>
  <c r="O1026" i="1" s="1"/>
  <c r="N1026" i="1"/>
  <c r="M1026" i="1"/>
  <c r="O1025" i="1"/>
  <c r="O1025" i="1" a="1"/>
  <c r="N1025" i="1"/>
  <c r="M1025" i="1"/>
  <c r="O1024" i="1" a="1"/>
  <c r="O1024" i="1" s="1"/>
  <c r="N1024" i="1"/>
  <c r="M1024" i="1"/>
  <c r="O1023" i="1" a="1"/>
  <c r="O1023" i="1" s="1"/>
  <c r="N1023" i="1"/>
  <c r="M1023" i="1"/>
  <c r="O1022" i="1" a="1"/>
  <c r="O1022" i="1" s="1"/>
  <c r="N1022" i="1"/>
  <c r="M1022" i="1"/>
  <c r="O1021" i="1"/>
  <c r="O1021" i="1" a="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c r="O1014" i="1" a="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c r="O1007" i="1" a="1"/>
  <c r="N1007" i="1"/>
  <c r="M1007" i="1"/>
  <c r="O1006" i="1" a="1"/>
  <c r="O1006" i="1" s="1"/>
  <c r="N1006" i="1"/>
  <c r="M1006" i="1"/>
  <c r="O1005" i="1" a="1"/>
  <c r="O1005" i="1" s="1"/>
  <c r="N1005" i="1"/>
  <c r="M1005" i="1"/>
  <c r="O1004" i="1" a="1"/>
  <c r="O1004" i="1" s="1"/>
  <c r="N1004" i="1"/>
  <c r="M1004" i="1"/>
  <c r="O1003" i="1" a="1"/>
  <c r="O1003" i="1" s="1"/>
  <c r="N1003" i="1"/>
  <c r="M1003" i="1"/>
  <c r="O1002" i="1"/>
  <c r="O1002" i="1" a="1"/>
  <c r="N1002" i="1"/>
  <c r="M1002" i="1"/>
  <c r="O1001" i="1" a="1"/>
  <c r="O1001" i="1" s="1"/>
  <c r="N1001" i="1"/>
  <c r="M1001" i="1"/>
  <c r="O1000" i="1"/>
  <c r="O1000" i="1" a="1"/>
  <c r="N1000" i="1"/>
  <c r="M1000" i="1"/>
  <c r="O999" i="1" a="1"/>
  <c r="O999" i="1" s="1"/>
  <c r="N999" i="1"/>
  <c r="M999" i="1"/>
  <c r="O998" i="1" a="1"/>
  <c r="O998" i="1" s="1"/>
  <c r="N998" i="1"/>
  <c r="M998" i="1"/>
  <c r="O997" i="1" a="1"/>
  <c r="O997" i="1" s="1"/>
  <c r="N997" i="1"/>
  <c r="M997" i="1"/>
  <c r="O996" i="1" a="1"/>
  <c r="O996" i="1" s="1"/>
  <c r="N996" i="1"/>
  <c r="M996" i="1"/>
  <c r="O995" i="1"/>
  <c r="O995" i="1" a="1"/>
  <c r="N995" i="1"/>
  <c r="M995" i="1"/>
  <c r="O994" i="1" a="1"/>
  <c r="O994" i="1" s="1"/>
  <c r="N994" i="1"/>
  <c r="M994" i="1"/>
  <c r="O993" i="1"/>
  <c r="O993" i="1" a="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c r="O986" i="1" a="1"/>
  <c r="N986" i="1"/>
  <c r="M986" i="1"/>
  <c r="O985" i="1" a="1"/>
  <c r="O985" i="1" s="1"/>
  <c r="N985" i="1"/>
  <c r="M985" i="1"/>
  <c r="O984" i="1" a="1"/>
  <c r="O984" i="1" s="1"/>
  <c r="N984" i="1"/>
  <c r="M984" i="1"/>
  <c r="O983" i="1" a="1"/>
  <c r="O983" i="1" s="1"/>
  <c r="N983" i="1"/>
  <c r="M983" i="1"/>
  <c r="O982" i="1" a="1"/>
  <c r="O982" i="1" s="1"/>
  <c r="N982" i="1"/>
  <c r="M982" i="1"/>
  <c r="O981" i="1"/>
  <c r="O981" i="1" a="1"/>
  <c r="N981" i="1"/>
  <c r="M981" i="1"/>
  <c r="O980" i="1" a="1"/>
  <c r="O980" i="1" s="1"/>
  <c r="N980" i="1"/>
  <c r="M980" i="1"/>
  <c r="O979" i="1"/>
  <c r="O979" i="1" a="1"/>
  <c r="N979" i="1"/>
  <c r="M979" i="1"/>
  <c r="O978" i="1" a="1"/>
  <c r="O978" i="1" s="1"/>
  <c r="N978" i="1"/>
  <c r="M978" i="1"/>
  <c r="O977" i="1" a="1"/>
  <c r="O977" i="1" s="1"/>
  <c r="N977" i="1"/>
  <c r="M977" i="1"/>
  <c r="O976" i="1"/>
  <c r="O976" i="1" a="1"/>
  <c r="N976" i="1"/>
  <c r="M976" i="1"/>
  <c r="O975" i="1" a="1"/>
  <c r="O975" i="1" s="1"/>
  <c r="N975" i="1"/>
  <c r="M975" i="1"/>
  <c r="O974" i="1" a="1"/>
  <c r="O974" i="1" s="1"/>
  <c r="N974" i="1"/>
  <c r="M974" i="1"/>
  <c r="O973" i="1" a="1"/>
  <c r="O973" i="1" s="1"/>
  <c r="N973" i="1"/>
  <c r="M973" i="1"/>
  <c r="O972" i="1"/>
  <c r="O972" i="1" a="1"/>
  <c r="N972" i="1"/>
  <c r="M972" i="1"/>
  <c r="O971" i="1" a="1"/>
  <c r="O971" i="1" s="1"/>
  <c r="N971" i="1"/>
  <c r="M971" i="1"/>
  <c r="O970" i="1" a="1"/>
  <c r="O970" i="1" s="1"/>
  <c r="N970" i="1"/>
  <c r="M970" i="1"/>
  <c r="O969" i="1" a="1"/>
  <c r="O969" i="1" s="1"/>
  <c r="N969" i="1"/>
  <c r="M969" i="1"/>
  <c r="O968" i="1"/>
  <c r="O968" i="1" a="1"/>
  <c r="N968" i="1"/>
  <c r="M968" i="1"/>
  <c r="O967" i="1" a="1"/>
  <c r="O967" i="1" s="1"/>
  <c r="N967" i="1"/>
  <c r="M967" i="1"/>
  <c r="O966" i="1" a="1"/>
  <c r="O966" i="1" s="1"/>
  <c r="N966" i="1"/>
  <c r="M966" i="1"/>
  <c r="O965" i="1"/>
  <c r="O965" i="1" a="1"/>
  <c r="N965" i="1"/>
  <c r="M965" i="1"/>
  <c r="O964" i="1" a="1"/>
  <c r="O964" i="1" s="1"/>
  <c r="N964" i="1"/>
  <c r="M964" i="1"/>
  <c r="O963" i="1" a="1"/>
  <c r="O963" i="1" s="1"/>
  <c r="N963" i="1"/>
  <c r="M963" i="1"/>
  <c r="O962" i="1" a="1"/>
  <c r="O962" i="1" s="1"/>
  <c r="N962" i="1"/>
  <c r="M962" i="1"/>
  <c r="O961" i="1" a="1"/>
  <c r="O961" i="1" s="1"/>
  <c r="N961" i="1"/>
  <c r="M961" i="1"/>
  <c r="O960" i="1"/>
  <c r="O960" i="1" a="1"/>
  <c r="N960" i="1"/>
  <c r="M960" i="1"/>
  <c r="O959" i="1" a="1"/>
  <c r="O959" i="1" s="1"/>
  <c r="N959" i="1"/>
  <c r="M959" i="1"/>
  <c r="O958" i="1"/>
  <c r="O958" i="1" a="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c r="O951" i="1" a="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c r="O944" i="1" a="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c r="O937" i="1" a="1"/>
  <c r="N937" i="1"/>
  <c r="M937" i="1"/>
  <c r="O936" i="1" a="1"/>
  <c r="O936" i="1" s="1"/>
  <c r="N936" i="1"/>
  <c r="M936" i="1"/>
  <c r="O935" i="1" a="1"/>
  <c r="O935" i="1" s="1"/>
  <c r="N935" i="1"/>
  <c r="M935" i="1"/>
  <c r="O934" i="1" a="1"/>
  <c r="O934" i="1" s="1"/>
  <c r="N934" i="1"/>
  <c r="M934" i="1"/>
  <c r="O933" i="1"/>
  <c r="O933" i="1" a="1"/>
  <c r="N933" i="1"/>
  <c r="M933" i="1"/>
  <c r="O932" i="1" a="1"/>
  <c r="O932" i="1" s="1"/>
  <c r="N932" i="1"/>
  <c r="M932" i="1"/>
  <c r="O931" i="1" a="1"/>
  <c r="O931" i="1" s="1"/>
  <c r="N931" i="1"/>
  <c r="M931" i="1"/>
  <c r="O930" i="1"/>
  <c r="O930" i="1" a="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c r="O923" i="1" a="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c r="O916" i="1" a="1"/>
  <c r="N916" i="1"/>
  <c r="M916" i="1"/>
  <c r="O915" i="1" a="1"/>
  <c r="O915" i="1" s="1"/>
  <c r="N915" i="1"/>
  <c r="M915" i="1"/>
  <c r="O914" i="1" a="1"/>
  <c r="O914" i="1" s="1"/>
  <c r="N914" i="1"/>
  <c r="M914" i="1"/>
  <c r="O913" i="1" a="1"/>
  <c r="O913" i="1" s="1"/>
  <c r="N913" i="1"/>
  <c r="M913" i="1"/>
  <c r="O912" i="1"/>
  <c r="O912" i="1" a="1"/>
  <c r="N912" i="1"/>
  <c r="M912" i="1"/>
  <c r="O911" i="1" a="1"/>
  <c r="O911" i="1" s="1"/>
  <c r="N911" i="1"/>
  <c r="M911" i="1"/>
  <c r="O910" i="1" a="1"/>
  <c r="O910" i="1" s="1"/>
  <c r="N910" i="1"/>
  <c r="M910" i="1"/>
  <c r="O909" i="1"/>
  <c r="O909" i="1" a="1"/>
  <c r="N909" i="1"/>
  <c r="M909" i="1"/>
  <c r="O908" i="1" a="1"/>
  <c r="O908" i="1" s="1"/>
  <c r="N908" i="1"/>
  <c r="M908" i="1"/>
  <c r="O907" i="1"/>
  <c r="O907" i="1" a="1"/>
  <c r="N907" i="1"/>
  <c r="M907" i="1"/>
  <c r="O906" i="1" a="1"/>
  <c r="O906" i="1" s="1"/>
  <c r="N906" i="1"/>
  <c r="M906" i="1"/>
  <c r="O905" i="1" a="1"/>
  <c r="O905" i="1" s="1"/>
  <c r="N905" i="1"/>
  <c r="M905" i="1"/>
  <c r="O904" i="1"/>
  <c r="O904" i="1" a="1"/>
  <c r="N904" i="1"/>
  <c r="M904" i="1"/>
  <c r="O903" i="1"/>
  <c r="O903" i="1" a="1"/>
  <c r="N903" i="1"/>
  <c r="M903" i="1"/>
  <c r="O902" i="1"/>
  <c r="O902" i="1" a="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c r="O896" i="1" a="1"/>
  <c r="N896" i="1"/>
  <c r="M896" i="1"/>
  <c r="O895" i="1"/>
  <c r="O895" i="1" a="1"/>
  <c r="N895" i="1"/>
  <c r="M895" i="1"/>
  <c r="O894" i="1" a="1"/>
  <c r="O894" i="1" s="1"/>
  <c r="N894" i="1"/>
  <c r="M894" i="1"/>
  <c r="O893" i="1"/>
  <c r="O893" i="1" a="1"/>
  <c r="N893" i="1"/>
  <c r="M893" i="1"/>
  <c r="O892" i="1" a="1"/>
  <c r="O892" i="1" s="1"/>
  <c r="N892" i="1"/>
  <c r="M892" i="1"/>
  <c r="O891" i="1"/>
  <c r="O891" i="1" a="1"/>
  <c r="N891" i="1"/>
  <c r="M891" i="1"/>
  <c r="O890" i="1"/>
  <c r="O890" i="1" a="1"/>
  <c r="N890" i="1"/>
  <c r="M890" i="1"/>
  <c r="O889" i="1" a="1"/>
  <c r="O889" i="1" s="1"/>
  <c r="N889" i="1"/>
  <c r="M889" i="1"/>
  <c r="O888" i="1"/>
  <c r="O888" i="1" a="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c r="O881" i="1" a="1"/>
  <c r="N881" i="1"/>
  <c r="M881" i="1"/>
  <c r="O880" i="1" a="1"/>
  <c r="O880" i="1" s="1"/>
  <c r="N880" i="1"/>
  <c r="M880" i="1"/>
  <c r="O879" i="1" a="1"/>
  <c r="O879" i="1" s="1"/>
  <c r="N879" i="1"/>
  <c r="M879" i="1"/>
  <c r="O878" i="1"/>
  <c r="O878" i="1" a="1"/>
  <c r="N878" i="1"/>
  <c r="M878" i="1"/>
  <c r="O877" i="1" a="1"/>
  <c r="O877" i="1" s="1"/>
  <c r="N877" i="1"/>
  <c r="M877" i="1"/>
  <c r="O876" i="1" a="1"/>
  <c r="O876" i="1" s="1"/>
  <c r="N876" i="1"/>
  <c r="M876" i="1"/>
  <c r="O875" i="1"/>
  <c r="O875" i="1" a="1"/>
  <c r="N875" i="1"/>
  <c r="M875" i="1"/>
  <c r="O874" i="1"/>
  <c r="O874" i="1" a="1"/>
  <c r="N874" i="1"/>
  <c r="M874" i="1"/>
  <c r="O873" i="1" a="1"/>
  <c r="O873" i="1" s="1"/>
  <c r="N873" i="1"/>
  <c r="M873" i="1"/>
  <c r="O872" i="1" a="1"/>
  <c r="O872" i="1" s="1"/>
  <c r="N872" i="1"/>
  <c r="M872" i="1"/>
  <c r="O871" i="1"/>
  <c r="O871" i="1" a="1"/>
  <c r="N871" i="1"/>
  <c r="M871" i="1"/>
  <c r="O870" i="1" a="1"/>
  <c r="O870" i="1" s="1"/>
  <c r="N870" i="1"/>
  <c r="M870" i="1"/>
  <c r="O869" i="1" a="1"/>
  <c r="O869" i="1" s="1"/>
  <c r="N869" i="1"/>
  <c r="M869" i="1"/>
  <c r="O868" i="1"/>
  <c r="O868" i="1" a="1"/>
  <c r="N868" i="1"/>
  <c r="M868" i="1"/>
  <c r="O867" i="1"/>
  <c r="O867" i="1" a="1"/>
  <c r="N867" i="1"/>
  <c r="M867" i="1"/>
  <c r="O866" i="1" a="1"/>
  <c r="O866" i="1" s="1"/>
  <c r="N866" i="1"/>
  <c r="M866" i="1"/>
  <c r="O865" i="1"/>
  <c r="O865" i="1" a="1"/>
  <c r="N865" i="1"/>
  <c r="M865" i="1"/>
  <c r="O864" i="1"/>
  <c r="O864" i="1" a="1"/>
  <c r="N864" i="1"/>
  <c r="M864" i="1"/>
  <c r="O863" i="1" a="1"/>
  <c r="O863" i="1" s="1"/>
  <c r="N863" i="1"/>
  <c r="M863" i="1"/>
  <c r="O862" i="1"/>
  <c r="O862" i="1" a="1"/>
  <c r="N862" i="1"/>
  <c r="M862" i="1"/>
  <c r="O861" i="1" a="1"/>
  <c r="O861" i="1" s="1"/>
  <c r="N861" i="1"/>
  <c r="M861" i="1"/>
  <c r="O860" i="1"/>
  <c r="O860" i="1" a="1"/>
  <c r="N860" i="1"/>
  <c r="M860" i="1"/>
  <c r="O859" i="1" a="1"/>
  <c r="O859" i="1" s="1"/>
  <c r="N859" i="1"/>
  <c r="M859" i="1"/>
  <c r="O858" i="1"/>
  <c r="O858" i="1" a="1"/>
  <c r="N858" i="1"/>
  <c r="M858" i="1"/>
  <c r="O857" i="1" a="1"/>
  <c r="O857" i="1" s="1"/>
  <c r="N857" i="1"/>
  <c r="M857" i="1"/>
  <c r="O856" i="1" a="1"/>
  <c r="O856" i="1" s="1"/>
  <c r="N856" i="1"/>
  <c r="M856" i="1"/>
  <c r="O855" i="1"/>
  <c r="O855" i="1" a="1"/>
  <c r="N855" i="1"/>
  <c r="M855" i="1"/>
  <c r="O854" i="1" a="1"/>
  <c r="O854" i="1" s="1"/>
  <c r="N854" i="1"/>
  <c r="M854" i="1"/>
  <c r="O853" i="1"/>
  <c r="O853" i="1" a="1"/>
  <c r="N853" i="1"/>
  <c r="M853" i="1"/>
  <c r="O852" i="1" a="1"/>
  <c r="O852" i="1" s="1"/>
  <c r="N852" i="1"/>
  <c r="M852" i="1"/>
  <c r="O851" i="1" a="1"/>
  <c r="O851" i="1" s="1"/>
  <c r="N851" i="1"/>
  <c r="M851" i="1"/>
  <c r="O850" i="1" a="1"/>
  <c r="O850" i="1" s="1"/>
  <c r="N850" i="1"/>
  <c r="M850" i="1"/>
  <c r="O849" i="1"/>
  <c r="O849" i="1" a="1"/>
  <c r="N849" i="1"/>
  <c r="M849" i="1"/>
  <c r="O848" i="1" a="1"/>
  <c r="O848" i="1" s="1"/>
  <c r="N848" i="1"/>
  <c r="M848" i="1"/>
  <c r="O847" i="1" a="1"/>
  <c r="O847" i="1" s="1"/>
  <c r="N847" i="1"/>
  <c r="M847" i="1"/>
  <c r="O846" i="1"/>
  <c r="O846" i="1" a="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c r="O839" i="1" a="1"/>
  <c r="N839" i="1"/>
  <c r="M839" i="1"/>
  <c r="O838" i="1" a="1"/>
  <c r="O838" i="1" s="1"/>
  <c r="N838" i="1"/>
  <c r="M838" i="1"/>
  <c r="O837" i="1" a="1"/>
  <c r="O837" i="1" s="1"/>
  <c r="N837" i="1"/>
  <c r="M837" i="1"/>
  <c r="O836" i="1"/>
  <c r="O836" i="1" a="1"/>
  <c r="N836" i="1"/>
  <c r="M836" i="1"/>
  <c r="O835" i="1" a="1"/>
  <c r="O835" i="1" s="1"/>
  <c r="N835" i="1"/>
  <c r="M835" i="1"/>
  <c r="O834" i="1" a="1"/>
  <c r="O834" i="1" s="1"/>
  <c r="N834" i="1"/>
  <c r="M834" i="1"/>
  <c r="O833" i="1"/>
  <c r="O833" i="1" a="1"/>
  <c r="N833" i="1"/>
  <c r="M833" i="1"/>
  <c r="O832" i="1"/>
  <c r="O832" i="1" a="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c r="O825" i="1" a="1"/>
  <c r="N825" i="1"/>
  <c r="M825" i="1"/>
  <c r="O824" i="1" a="1"/>
  <c r="O824" i="1" s="1"/>
  <c r="N824" i="1"/>
  <c r="M824" i="1"/>
  <c r="O823" i="1"/>
  <c r="O823" i="1" a="1"/>
  <c r="N823" i="1"/>
  <c r="M823" i="1"/>
  <c r="O822" i="1" a="1"/>
  <c r="O822" i="1" s="1"/>
  <c r="N822" i="1"/>
  <c r="M822" i="1"/>
  <c r="O821" i="1"/>
  <c r="O821" i="1" a="1"/>
  <c r="N821" i="1"/>
  <c r="M821" i="1"/>
  <c r="O820" i="1"/>
  <c r="O820" i="1" a="1"/>
  <c r="N820" i="1"/>
  <c r="M820" i="1"/>
  <c r="O819" i="1" a="1"/>
  <c r="O819" i="1" s="1"/>
  <c r="N819" i="1"/>
  <c r="M819" i="1"/>
  <c r="O818" i="1"/>
  <c r="O818" i="1" a="1"/>
  <c r="N818" i="1"/>
  <c r="M818" i="1"/>
  <c r="O817" i="1" a="1"/>
  <c r="O817" i="1" s="1"/>
  <c r="N817" i="1"/>
  <c r="M817" i="1"/>
  <c r="O816" i="1"/>
  <c r="O816" i="1" a="1"/>
  <c r="N816" i="1"/>
  <c r="M816" i="1"/>
  <c r="O815" i="1" a="1"/>
  <c r="O815" i="1" s="1"/>
  <c r="N815" i="1"/>
  <c r="M815" i="1"/>
  <c r="O814" i="1"/>
  <c r="O814" i="1" a="1"/>
  <c r="N814" i="1"/>
  <c r="M814" i="1"/>
  <c r="O813" i="1"/>
  <c r="O813" i="1" a="1"/>
  <c r="N813" i="1"/>
  <c r="M813" i="1"/>
  <c r="O812" i="1" a="1"/>
  <c r="O812" i="1" s="1"/>
  <c r="N812" i="1"/>
  <c r="M812" i="1"/>
  <c r="O811" i="1"/>
  <c r="O811" i="1" a="1"/>
  <c r="N811" i="1"/>
  <c r="M811" i="1"/>
  <c r="O810" i="1" a="1"/>
  <c r="O810" i="1" s="1"/>
  <c r="N810" i="1"/>
  <c r="M810" i="1"/>
  <c r="O809" i="1"/>
  <c r="O809" i="1" a="1"/>
  <c r="N809" i="1"/>
  <c r="M809" i="1"/>
  <c r="O808" i="1" a="1"/>
  <c r="O808" i="1" s="1"/>
  <c r="N808" i="1"/>
  <c r="M808" i="1"/>
  <c r="O807" i="1" a="1"/>
  <c r="O807" i="1" s="1"/>
  <c r="N807" i="1"/>
  <c r="M807" i="1"/>
  <c r="O806" i="1" a="1"/>
  <c r="O806" i="1" s="1"/>
  <c r="N806" i="1"/>
  <c r="M806" i="1"/>
  <c r="O805" i="1" a="1"/>
  <c r="O805" i="1" s="1"/>
  <c r="N805" i="1"/>
  <c r="M805" i="1"/>
  <c r="O804" i="1"/>
  <c r="O804" i="1" a="1"/>
  <c r="N804" i="1"/>
  <c r="M804" i="1"/>
  <c r="O803" i="1" a="1"/>
  <c r="O803" i="1" s="1"/>
  <c r="N803" i="1"/>
  <c r="M803" i="1"/>
  <c r="O802" i="1" a="1"/>
  <c r="O802" i="1" s="1"/>
  <c r="N802" i="1"/>
  <c r="M802" i="1"/>
  <c r="O801" i="1" a="1"/>
  <c r="O801" i="1" s="1"/>
  <c r="N801" i="1"/>
  <c r="M801" i="1"/>
  <c r="O800" i="1"/>
  <c r="O800" i="1" a="1"/>
  <c r="N800" i="1"/>
  <c r="M800" i="1"/>
  <c r="O799" i="1" a="1"/>
  <c r="O799" i="1" s="1"/>
  <c r="N799" i="1"/>
  <c r="M799" i="1"/>
  <c r="O798" i="1" a="1"/>
  <c r="O798" i="1" s="1"/>
  <c r="N798" i="1"/>
  <c r="M798" i="1"/>
  <c r="O797" i="1"/>
  <c r="O797" i="1" a="1"/>
  <c r="N797" i="1"/>
  <c r="M797" i="1"/>
  <c r="O796" i="1" a="1"/>
  <c r="O796" i="1" s="1"/>
  <c r="N796" i="1"/>
  <c r="M796" i="1"/>
  <c r="O795" i="1"/>
  <c r="O795" i="1" a="1"/>
  <c r="N795" i="1"/>
  <c r="M795" i="1"/>
  <c r="O794" i="1"/>
  <c r="O794" i="1" a="1"/>
  <c r="N794" i="1"/>
  <c r="M794" i="1"/>
  <c r="O793" i="1" a="1"/>
  <c r="O793" i="1" s="1"/>
  <c r="N793" i="1"/>
  <c r="M793" i="1"/>
  <c r="O792" i="1" a="1"/>
  <c r="O792" i="1" s="1"/>
  <c r="N792" i="1"/>
  <c r="M792" i="1"/>
  <c r="O791" i="1"/>
  <c r="O791" i="1" a="1"/>
  <c r="N791" i="1"/>
  <c r="M791" i="1"/>
  <c r="O790" i="1"/>
  <c r="O790" i="1" a="1"/>
  <c r="N790" i="1"/>
  <c r="M790" i="1"/>
  <c r="O789" i="1" a="1"/>
  <c r="O789" i="1" s="1"/>
  <c r="N789" i="1"/>
  <c r="M789" i="1"/>
  <c r="O788" i="1" a="1"/>
  <c r="O788" i="1" s="1"/>
  <c r="N788" i="1"/>
  <c r="M788" i="1"/>
  <c r="O787" i="1" a="1"/>
  <c r="O787" i="1" s="1"/>
  <c r="N787" i="1"/>
  <c r="M787" i="1"/>
  <c r="O786" i="1" a="1"/>
  <c r="O786" i="1" s="1"/>
  <c r="N786" i="1"/>
  <c r="M786" i="1"/>
  <c r="O785" i="1"/>
  <c r="O785" i="1" a="1"/>
  <c r="N785" i="1"/>
  <c r="M785" i="1"/>
  <c r="O784" i="1" a="1"/>
  <c r="O784" i="1" s="1"/>
  <c r="N784" i="1"/>
  <c r="M784" i="1"/>
  <c r="O783" i="1"/>
  <c r="O783" i="1" a="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c r="O776" i="1" a="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c r="O770" i="1" a="1"/>
  <c r="N770" i="1"/>
  <c r="M770" i="1"/>
  <c r="O769" i="1"/>
  <c r="O769" i="1" a="1"/>
  <c r="N769" i="1"/>
  <c r="M769" i="1"/>
  <c r="O768" i="1" a="1"/>
  <c r="O768" i="1" s="1"/>
  <c r="N768" i="1"/>
  <c r="M768" i="1"/>
  <c r="O767" i="1"/>
  <c r="O767" i="1" a="1"/>
  <c r="N767" i="1"/>
  <c r="M767" i="1"/>
  <c r="O766" i="1"/>
  <c r="O766" i="1" a="1"/>
  <c r="N766" i="1"/>
  <c r="M766" i="1"/>
  <c r="O765" i="1"/>
  <c r="O765" i="1" a="1"/>
  <c r="N765" i="1"/>
  <c r="M765" i="1"/>
  <c r="O764" i="1"/>
  <c r="O764" i="1" a="1"/>
  <c r="N764" i="1"/>
  <c r="M764" i="1"/>
  <c r="O763" i="1" a="1"/>
  <c r="O763" i="1" s="1"/>
  <c r="N763" i="1"/>
  <c r="M763" i="1"/>
  <c r="O762" i="1"/>
  <c r="O762" i="1" a="1"/>
  <c r="N762" i="1"/>
  <c r="M762" i="1"/>
  <c r="O761" i="1" a="1"/>
  <c r="O761" i="1" s="1"/>
  <c r="N761" i="1"/>
  <c r="M761" i="1"/>
  <c r="O760" i="1" a="1"/>
  <c r="O760" i="1" s="1"/>
  <c r="N760" i="1"/>
  <c r="M760" i="1"/>
  <c r="O759" i="1" a="1"/>
  <c r="O759" i="1" s="1"/>
  <c r="N759" i="1"/>
  <c r="M759" i="1"/>
  <c r="O758" i="1"/>
  <c r="O758" i="1" a="1"/>
  <c r="N758" i="1"/>
  <c r="M758" i="1"/>
  <c r="O757" i="1" a="1"/>
  <c r="O757" i="1" s="1"/>
  <c r="N757" i="1"/>
  <c r="M757" i="1"/>
  <c r="O756" i="1" a="1"/>
  <c r="O756" i="1" s="1"/>
  <c r="N756" i="1"/>
  <c r="M756" i="1"/>
  <c r="O755" i="1"/>
  <c r="O755" i="1" a="1"/>
  <c r="N755" i="1"/>
  <c r="M755" i="1"/>
  <c r="O754" i="1" a="1"/>
  <c r="O754" i="1" s="1"/>
  <c r="N754" i="1"/>
  <c r="M754" i="1"/>
  <c r="O753" i="1"/>
  <c r="O753" i="1" a="1"/>
  <c r="N753" i="1"/>
  <c r="M753" i="1"/>
  <c r="O752" i="1"/>
  <c r="O752" i="1" a="1"/>
  <c r="N752" i="1"/>
  <c r="M752" i="1"/>
  <c r="O751" i="1" a="1"/>
  <c r="O751" i="1" s="1"/>
  <c r="N751" i="1"/>
  <c r="M751" i="1"/>
  <c r="O750" i="1" a="1"/>
  <c r="O750" i="1" s="1"/>
  <c r="N750" i="1"/>
  <c r="M750" i="1"/>
  <c r="O749" i="1" a="1"/>
  <c r="O749" i="1" s="1"/>
  <c r="N749" i="1"/>
  <c r="M749" i="1"/>
  <c r="O748" i="1"/>
  <c r="O748" i="1" a="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c r="O741" i="1" a="1"/>
  <c r="N741" i="1"/>
  <c r="M741" i="1"/>
  <c r="O740" i="1" a="1"/>
  <c r="O740" i="1" s="1"/>
  <c r="N740" i="1"/>
  <c r="M740" i="1"/>
  <c r="O739" i="1" a="1"/>
  <c r="O739" i="1" s="1"/>
  <c r="N739" i="1"/>
  <c r="M739" i="1"/>
  <c r="O738" i="1" a="1"/>
  <c r="O738" i="1" s="1"/>
  <c r="N738" i="1"/>
  <c r="M738" i="1"/>
  <c r="O737" i="1"/>
  <c r="O737" i="1" a="1"/>
  <c r="N737" i="1"/>
  <c r="M737" i="1"/>
  <c r="O736" i="1"/>
  <c r="O736" i="1" a="1"/>
  <c r="N736" i="1"/>
  <c r="M736" i="1"/>
  <c r="O735" i="1"/>
  <c r="O735" i="1" a="1"/>
  <c r="N735" i="1"/>
  <c r="M735" i="1"/>
  <c r="O734" i="1"/>
  <c r="O734" i="1" a="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c r="O727" i="1" a="1"/>
  <c r="N727" i="1"/>
  <c r="M727" i="1"/>
  <c r="O726" i="1" a="1"/>
  <c r="O726" i="1" s="1"/>
  <c r="N726" i="1"/>
  <c r="M726" i="1"/>
  <c r="O725" i="1" a="1"/>
  <c r="O725" i="1" s="1"/>
  <c r="N725" i="1"/>
  <c r="M725" i="1"/>
  <c r="O724" i="1"/>
  <c r="O724" i="1" a="1"/>
  <c r="N724" i="1"/>
  <c r="M724" i="1"/>
  <c r="O723" i="1" a="1"/>
  <c r="O723" i="1" s="1"/>
  <c r="N723" i="1"/>
  <c r="M723" i="1"/>
  <c r="O722" i="1" a="1"/>
  <c r="O722" i="1" s="1"/>
  <c r="N722" i="1"/>
  <c r="M722" i="1"/>
  <c r="O721" i="1" a="1"/>
  <c r="O721" i="1" s="1"/>
  <c r="N721" i="1"/>
  <c r="M721" i="1"/>
  <c r="O720" i="1"/>
  <c r="O720" i="1" a="1"/>
  <c r="N720" i="1"/>
  <c r="M720" i="1"/>
  <c r="O719" i="1" a="1"/>
  <c r="O719" i="1" s="1"/>
  <c r="N719" i="1"/>
  <c r="M719" i="1"/>
  <c r="O718" i="1" a="1"/>
  <c r="O718" i="1" s="1"/>
  <c r="N718" i="1"/>
  <c r="M718" i="1"/>
  <c r="O717" i="1" a="1"/>
  <c r="O717" i="1" s="1"/>
  <c r="N717" i="1"/>
  <c r="M717" i="1"/>
  <c r="O716" i="1"/>
  <c r="O716" i="1" a="1"/>
  <c r="N716" i="1"/>
  <c r="M716" i="1"/>
  <c r="O715" i="1" a="1"/>
  <c r="O715" i="1" s="1"/>
  <c r="N715" i="1"/>
  <c r="M715" i="1"/>
  <c r="O714" i="1" a="1"/>
  <c r="O714" i="1" s="1"/>
  <c r="N714" i="1"/>
  <c r="M714" i="1"/>
  <c r="O713" i="1"/>
  <c r="O713" i="1" a="1"/>
  <c r="N713" i="1"/>
  <c r="M713" i="1"/>
  <c r="O712" i="1" a="1"/>
  <c r="O712" i="1" s="1"/>
  <c r="N712" i="1"/>
  <c r="M712" i="1"/>
  <c r="O711" i="1"/>
  <c r="O711" i="1" a="1"/>
  <c r="N711" i="1"/>
  <c r="M711" i="1"/>
  <c r="O710" i="1" a="1"/>
  <c r="O710" i="1" s="1"/>
  <c r="N710" i="1"/>
  <c r="M710" i="1"/>
  <c r="O709" i="1" a="1"/>
  <c r="O709" i="1" s="1"/>
  <c r="N709" i="1"/>
  <c r="M709" i="1"/>
  <c r="O708" i="1"/>
  <c r="O708" i="1" a="1"/>
  <c r="N708" i="1"/>
  <c r="M708" i="1"/>
  <c r="O707" i="1"/>
  <c r="O707" i="1" a="1"/>
  <c r="N707" i="1"/>
  <c r="M707" i="1"/>
  <c r="O706" i="1"/>
  <c r="O706" i="1" a="1"/>
  <c r="N706" i="1"/>
  <c r="M706" i="1"/>
  <c r="O705" i="1" a="1"/>
  <c r="O705" i="1" s="1"/>
  <c r="N705" i="1"/>
  <c r="M705" i="1"/>
  <c r="O704" i="1" a="1"/>
  <c r="O704" i="1" s="1"/>
  <c r="N704" i="1"/>
  <c r="M704" i="1"/>
  <c r="O703" i="1" a="1"/>
  <c r="O703" i="1" s="1"/>
  <c r="N703" i="1"/>
  <c r="M703" i="1"/>
  <c r="O702" i="1" a="1"/>
  <c r="O702" i="1" s="1"/>
  <c r="N702" i="1"/>
  <c r="M702" i="1"/>
  <c r="O701" i="1"/>
  <c r="O701" i="1" a="1"/>
  <c r="N701" i="1"/>
  <c r="M701" i="1"/>
  <c r="O700" i="1" a="1"/>
  <c r="O700" i="1" s="1"/>
  <c r="N700" i="1"/>
  <c r="M700" i="1"/>
  <c r="O699" i="1"/>
  <c r="O699" i="1" a="1"/>
  <c r="N699" i="1"/>
  <c r="M699" i="1"/>
  <c r="O698" i="1" a="1"/>
  <c r="O698" i="1" s="1"/>
  <c r="N698" i="1"/>
  <c r="M698" i="1"/>
  <c r="O697" i="1" a="1"/>
  <c r="O697" i="1" s="1"/>
  <c r="N697" i="1"/>
  <c r="M697" i="1"/>
  <c r="O696" i="1" a="1"/>
  <c r="O696" i="1" s="1"/>
  <c r="N696" i="1"/>
  <c r="M696" i="1"/>
  <c r="O695" i="1"/>
  <c r="O695" i="1" a="1"/>
  <c r="N695" i="1"/>
  <c r="M695" i="1"/>
  <c r="O694" i="1" a="1"/>
  <c r="O694" i="1" s="1"/>
  <c r="N694" i="1"/>
  <c r="M694" i="1"/>
  <c r="O693" i="1"/>
  <c r="O693" i="1" a="1"/>
  <c r="N693" i="1"/>
  <c r="M693" i="1"/>
  <c r="O692" i="1"/>
  <c r="O692" i="1" a="1"/>
  <c r="N692" i="1"/>
  <c r="M692" i="1"/>
  <c r="O691" i="1" a="1"/>
  <c r="O691" i="1" s="1"/>
  <c r="N691" i="1"/>
  <c r="M691" i="1"/>
  <c r="O690" i="1"/>
  <c r="O690" i="1" a="1"/>
  <c r="N690" i="1"/>
  <c r="M690" i="1"/>
  <c r="O689" i="1" a="1"/>
  <c r="O689" i="1" s="1"/>
  <c r="N689" i="1"/>
  <c r="M689" i="1"/>
  <c r="O688" i="1"/>
  <c r="O688" i="1" a="1"/>
  <c r="N688" i="1"/>
  <c r="M688" i="1"/>
  <c r="O687" i="1" a="1"/>
  <c r="O687" i="1" s="1"/>
  <c r="N687" i="1"/>
  <c r="M687" i="1"/>
  <c r="O686" i="1" a="1"/>
  <c r="O686" i="1" s="1"/>
  <c r="N686" i="1"/>
  <c r="M686" i="1"/>
  <c r="O685" i="1"/>
  <c r="O685" i="1" a="1"/>
  <c r="N685" i="1"/>
  <c r="M685" i="1"/>
  <c r="O684" i="1" a="1"/>
  <c r="O684" i="1" s="1"/>
  <c r="N684" i="1"/>
  <c r="M684" i="1"/>
  <c r="O683" i="1"/>
  <c r="O683" i="1" a="1"/>
  <c r="N683" i="1"/>
  <c r="M683" i="1"/>
  <c r="O682" i="1"/>
  <c r="O682" i="1" a="1"/>
  <c r="N682" i="1"/>
  <c r="M682" i="1"/>
  <c r="O681" i="1" a="1"/>
  <c r="O681" i="1" s="1"/>
  <c r="N681" i="1"/>
  <c r="M681" i="1"/>
  <c r="O680" i="1" a="1"/>
  <c r="O680" i="1" s="1"/>
  <c r="N680" i="1"/>
  <c r="M680" i="1"/>
  <c r="O679" i="1"/>
  <c r="O679" i="1" a="1"/>
  <c r="N679" i="1"/>
  <c r="M679" i="1"/>
  <c r="O678" i="1"/>
  <c r="O678" i="1" a="1"/>
  <c r="N678" i="1"/>
  <c r="M678" i="1"/>
  <c r="O677" i="1" a="1"/>
  <c r="O677" i="1" s="1"/>
  <c r="N677" i="1"/>
  <c r="M677" i="1"/>
  <c r="O676" i="1" a="1"/>
  <c r="O676" i="1" s="1"/>
  <c r="N676" i="1"/>
  <c r="M676" i="1"/>
  <c r="O675" i="1"/>
  <c r="O675" i="1" a="1"/>
  <c r="N675" i="1"/>
  <c r="M675" i="1"/>
  <c r="O674" i="1" a="1"/>
  <c r="O674" i="1" s="1"/>
  <c r="N674" i="1"/>
  <c r="M674" i="1"/>
  <c r="O673" i="1" a="1"/>
  <c r="O673" i="1" s="1"/>
  <c r="N673" i="1"/>
  <c r="M673" i="1"/>
  <c r="O672" i="1" a="1"/>
  <c r="O672" i="1" s="1"/>
  <c r="N672" i="1"/>
  <c r="M672" i="1"/>
  <c r="O671" i="1"/>
  <c r="O671" i="1" a="1"/>
  <c r="N671" i="1"/>
  <c r="M671" i="1"/>
  <c r="O670" i="1" a="1"/>
  <c r="O670" i="1" s="1"/>
  <c r="N670" i="1"/>
  <c r="M670" i="1"/>
  <c r="O669" i="1" a="1"/>
  <c r="O669" i="1" s="1"/>
  <c r="N669" i="1"/>
  <c r="M669" i="1"/>
  <c r="O668" i="1"/>
  <c r="O668" i="1" a="1"/>
  <c r="N668" i="1"/>
  <c r="M668" i="1"/>
  <c r="O667" i="1" a="1"/>
  <c r="O667" i="1" s="1"/>
  <c r="N667" i="1"/>
  <c r="M667" i="1"/>
  <c r="O666" i="1"/>
  <c r="O666" i="1" a="1"/>
  <c r="N666" i="1"/>
  <c r="M666" i="1"/>
  <c r="O665" i="1"/>
  <c r="O665" i="1" a="1"/>
  <c r="N665" i="1"/>
  <c r="M665" i="1"/>
  <c r="O664" i="1"/>
  <c r="O664" i="1" a="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c r="O658" i="1" a="1"/>
  <c r="N658" i="1"/>
  <c r="M658" i="1"/>
  <c r="O657" i="1"/>
  <c r="O657" i="1" a="1"/>
  <c r="N657" i="1"/>
  <c r="M657" i="1"/>
  <c r="O656" i="1" a="1"/>
  <c r="O656" i="1" s="1"/>
  <c r="N656" i="1"/>
  <c r="M656" i="1"/>
  <c r="O655" i="1"/>
  <c r="O655" i="1" a="1"/>
  <c r="N655" i="1"/>
  <c r="M655" i="1"/>
  <c r="O654" i="1" a="1"/>
  <c r="O654" i="1" s="1"/>
  <c r="N654" i="1"/>
  <c r="M654" i="1"/>
  <c r="O653" i="1"/>
  <c r="O653" i="1" a="1"/>
  <c r="N653" i="1"/>
  <c r="M653" i="1"/>
  <c r="O652" i="1"/>
  <c r="O652" i="1" a="1"/>
  <c r="N652" i="1"/>
  <c r="M652" i="1"/>
  <c r="O651" i="1" a="1"/>
  <c r="O651" i="1" s="1"/>
  <c r="N651" i="1"/>
  <c r="M651" i="1"/>
  <c r="O650" i="1"/>
  <c r="O650" i="1" a="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c r="O643" i="1" a="1"/>
  <c r="N643" i="1"/>
  <c r="M643" i="1"/>
  <c r="O642" i="1" a="1"/>
  <c r="O642" i="1" s="1"/>
  <c r="N642" i="1"/>
  <c r="M642" i="1"/>
  <c r="O641" i="1" a="1"/>
  <c r="O641" i="1" s="1"/>
  <c r="N641" i="1"/>
  <c r="M641" i="1"/>
  <c r="O640" i="1"/>
  <c r="O640" i="1" a="1"/>
  <c r="N640" i="1"/>
  <c r="M640" i="1"/>
  <c r="O639" i="1" a="1"/>
  <c r="O639" i="1" s="1"/>
  <c r="N639" i="1"/>
  <c r="M639" i="1"/>
  <c r="O638" i="1" a="1"/>
  <c r="O638" i="1" s="1"/>
  <c r="N638" i="1"/>
  <c r="M638" i="1"/>
  <c r="O637" i="1"/>
  <c r="O637" i="1" a="1"/>
  <c r="N637" i="1"/>
  <c r="M637" i="1"/>
  <c r="O636" i="1"/>
  <c r="O636" i="1" a="1"/>
  <c r="N636" i="1"/>
  <c r="M636" i="1"/>
  <c r="O635" i="1" a="1"/>
  <c r="O635" i="1" s="1"/>
  <c r="N635" i="1"/>
  <c r="M635" i="1"/>
  <c r="O634" i="1" a="1"/>
  <c r="O634" i="1" s="1"/>
  <c r="N634" i="1"/>
  <c r="M634" i="1"/>
  <c r="O633" i="1"/>
  <c r="O633" i="1" a="1"/>
  <c r="N633" i="1"/>
  <c r="M633" i="1"/>
  <c r="O632" i="1" a="1"/>
  <c r="O632" i="1" s="1"/>
  <c r="N632" i="1"/>
  <c r="M632" i="1"/>
  <c r="O631" i="1" a="1"/>
  <c r="O631" i="1" s="1"/>
  <c r="N631" i="1"/>
  <c r="M631" i="1"/>
  <c r="O630" i="1" a="1"/>
  <c r="O630" i="1" s="1"/>
  <c r="N630" i="1"/>
  <c r="M630" i="1"/>
  <c r="O629" i="1"/>
  <c r="O629" i="1" a="1"/>
  <c r="N629" i="1"/>
  <c r="M629" i="1"/>
  <c r="O628" i="1" a="1"/>
  <c r="O628" i="1" s="1"/>
  <c r="N628" i="1"/>
  <c r="M628" i="1"/>
  <c r="O627" i="1"/>
  <c r="O627" i="1" a="1"/>
  <c r="N627" i="1"/>
  <c r="M627" i="1"/>
  <c r="O626" i="1" a="1"/>
  <c r="O626" i="1" s="1"/>
  <c r="N626" i="1"/>
  <c r="M626" i="1"/>
  <c r="O625" i="1" a="1"/>
  <c r="O625" i="1" s="1"/>
  <c r="N625" i="1"/>
  <c r="M625" i="1"/>
  <c r="O624" i="1"/>
  <c r="O624" i="1" a="1"/>
  <c r="N624" i="1"/>
  <c r="M624" i="1"/>
  <c r="O623" i="1" a="1"/>
  <c r="O623" i="1" s="1"/>
  <c r="N623" i="1"/>
  <c r="M623" i="1"/>
  <c r="O622" i="1"/>
  <c r="O622" i="1" a="1"/>
  <c r="N622" i="1"/>
  <c r="M622" i="1"/>
  <c r="O621" i="1" a="1"/>
  <c r="O621" i="1" s="1"/>
  <c r="N621" i="1"/>
  <c r="M621" i="1"/>
  <c r="O620" i="1" a="1"/>
  <c r="O620" i="1" s="1"/>
  <c r="N620" i="1"/>
  <c r="M620" i="1"/>
  <c r="O619" i="1" a="1"/>
  <c r="O619" i="1" s="1"/>
  <c r="N619" i="1"/>
  <c r="M619" i="1"/>
  <c r="O618" i="1"/>
  <c r="O618" i="1" a="1"/>
  <c r="N618" i="1"/>
  <c r="M618" i="1"/>
  <c r="O617" i="1" a="1"/>
  <c r="O617" i="1" s="1"/>
  <c r="N617" i="1"/>
  <c r="M617" i="1"/>
  <c r="O616" i="1" a="1"/>
  <c r="O616" i="1" s="1"/>
  <c r="N616" i="1"/>
  <c r="M616" i="1"/>
  <c r="O615" i="1"/>
  <c r="O615" i="1" a="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c r="O608" i="1" a="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c r="O601" i="1" a="1"/>
  <c r="N601" i="1"/>
  <c r="M601" i="1"/>
  <c r="O600" i="1" a="1"/>
  <c r="O600" i="1" s="1"/>
  <c r="N600" i="1"/>
  <c r="M600" i="1"/>
  <c r="O599" i="1"/>
  <c r="O599" i="1" a="1"/>
  <c r="N599" i="1"/>
  <c r="M599" i="1"/>
  <c r="O598" i="1"/>
  <c r="O598" i="1" a="1"/>
  <c r="N598" i="1"/>
  <c r="M598" i="1"/>
  <c r="O597" i="1" a="1"/>
  <c r="O597" i="1" s="1"/>
  <c r="N597" i="1"/>
  <c r="M597" i="1"/>
  <c r="O596" i="1"/>
  <c r="O596" i="1" a="1"/>
  <c r="N596" i="1"/>
  <c r="M596" i="1"/>
  <c r="O595" i="1"/>
  <c r="O595" i="1" a="1"/>
  <c r="N595" i="1"/>
  <c r="M595" i="1"/>
  <c r="O594" i="1"/>
  <c r="O594" i="1" a="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c r="O587" i="1" a="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c r="O581" i="1" a="1"/>
  <c r="N581" i="1"/>
  <c r="M581" i="1"/>
  <c r="O580" i="1"/>
  <c r="O580" i="1" a="1"/>
  <c r="N580" i="1"/>
  <c r="M580" i="1"/>
  <c r="O579" i="1" a="1"/>
  <c r="O579" i="1" s="1"/>
  <c r="N579" i="1"/>
  <c r="M579" i="1"/>
  <c r="O578" i="1"/>
  <c r="O578" i="1" a="1"/>
  <c r="N578" i="1"/>
  <c r="M578" i="1"/>
  <c r="O577" i="1" a="1"/>
  <c r="O577" i="1" s="1"/>
  <c r="N577" i="1"/>
  <c r="M577" i="1"/>
  <c r="O576" i="1" a="1"/>
  <c r="O576" i="1" s="1"/>
  <c r="N576" i="1"/>
  <c r="M576" i="1"/>
  <c r="O575" i="1"/>
  <c r="O575" i="1" a="1"/>
  <c r="N575" i="1"/>
  <c r="M575" i="1"/>
  <c r="O574" i="1" a="1"/>
  <c r="O574" i="1" s="1"/>
  <c r="N574" i="1"/>
  <c r="M574" i="1"/>
  <c r="O573" i="1"/>
  <c r="O573" i="1" a="1"/>
  <c r="N573" i="1"/>
  <c r="M573" i="1"/>
  <c r="O572" i="1" a="1"/>
  <c r="O572" i="1" s="1"/>
  <c r="N572" i="1"/>
  <c r="M572" i="1"/>
  <c r="O571" i="1"/>
  <c r="O571" i="1" a="1"/>
  <c r="N571" i="1"/>
  <c r="M571" i="1"/>
  <c r="O570" i="1"/>
  <c r="O570" i="1" a="1"/>
  <c r="N570" i="1"/>
  <c r="M570" i="1"/>
  <c r="O569" i="1"/>
  <c r="O569" i="1" a="1"/>
  <c r="N569" i="1"/>
  <c r="M569" i="1"/>
  <c r="O568" i="1" a="1"/>
  <c r="O568" i="1" s="1"/>
  <c r="N568" i="1"/>
  <c r="M568" i="1"/>
  <c r="O567" i="1" a="1"/>
  <c r="O567" i="1" s="1"/>
  <c r="N567" i="1"/>
  <c r="M567" i="1"/>
  <c r="O566" i="1"/>
  <c r="O566" i="1" a="1"/>
  <c r="N566" i="1"/>
  <c r="M566" i="1"/>
  <c r="O565" i="1" a="1"/>
  <c r="O565" i="1" s="1"/>
  <c r="N565" i="1"/>
  <c r="M565" i="1"/>
  <c r="O564" i="1" a="1"/>
  <c r="O564" i="1" s="1"/>
  <c r="N564" i="1"/>
  <c r="M564" i="1"/>
  <c r="O563" i="1"/>
  <c r="O563" i="1" a="1"/>
  <c r="N563" i="1"/>
  <c r="M563" i="1"/>
  <c r="O562" i="1" a="1"/>
  <c r="O562" i="1" s="1"/>
  <c r="N562" i="1"/>
  <c r="M562" i="1"/>
  <c r="O561" i="1" a="1"/>
  <c r="O561" i="1" s="1"/>
  <c r="N561" i="1"/>
  <c r="M561" i="1"/>
  <c r="O560" i="1"/>
  <c r="O560" i="1" a="1"/>
  <c r="N560" i="1"/>
  <c r="M560" i="1"/>
  <c r="O559" i="1"/>
  <c r="O559" i="1" a="1"/>
  <c r="N559" i="1"/>
  <c r="M559" i="1"/>
  <c r="O558" i="1" a="1"/>
  <c r="O558" i="1" s="1"/>
  <c r="N558" i="1"/>
  <c r="M558" i="1"/>
  <c r="O557" i="1"/>
  <c r="O557" i="1" a="1"/>
  <c r="N557" i="1"/>
  <c r="M557" i="1"/>
  <c r="O556" i="1"/>
  <c r="O556" i="1" a="1"/>
  <c r="N556" i="1"/>
  <c r="M556" i="1"/>
  <c r="O555" i="1" a="1"/>
  <c r="O555" i="1" s="1"/>
  <c r="N555" i="1"/>
  <c r="M555" i="1"/>
  <c r="O554" i="1" a="1"/>
  <c r="O554" i="1" s="1"/>
  <c r="N554" i="1"/>
  <c r="M554" i="1"/>
  <c r="O553" i="1" a="1"/>
  <c r="O553" i="1" s="1"/>
  <c r="N553" i="1"/>
  <c r="M553" i="1"/>
  <c r="O552" i="1"/>
  <c r="O552" i="1" a="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c r="O545" i="1" a="1"/>
  <c r="N545" i="1"/>
  <c r="M545" i="1"/>
  <c r="O544" i="1" a="1"/>
  <c r="O544" i="1" s="1"/>
  <c r="N544" i="1"/>
  <c r="M544" i="1"/>
  <c r="O543" i="1"/>
  <c r="O543" i="1" a="1"/>
  <c r="N543" i="1"/>
  <c r="M543" i="1"/>
  <c r="O542" i="1" a="1"/>
  <c r="O542" i="1" s="1"/>
  <c r="N542" i="1"/>
  <c r="M542" i="1"/>
  <c r="O541" i="1"/>
  <c r="O541" i="1" a="1"/>
  <c r="N541" i="1"/>
  <c r="M541" i="1"/>
  <c r="O540" i="1"/>
  <c r="O540" i="1" a="1"/>
  <c r="N540" i="1"/>
  <c r="M540" i="1"/>
  <c r="O539" i="1" a="1"/>
  <c r="O539" i="1" s="1"/>
  <c r="N539" i="1"/>
  <c r="M539" i="1"/>
  <c r="O538" i="1"/>
  <c r="O538" i="1" a="1"/>
  <c r="N538" i="1"/>
  <c r="M538" i="1"/>
  <c r="O537" i="1" a="1"/>
  <c r="O537" i="1" s="1"/>
  <c r="N537" i="1"/>
  <c r="M537" i="1"/>
  <c r="O536" i="1" a="1"/>
  <c r="O536" i="1" s="1"/>
  <c r="N536" i="1"/>
  <c r="M536" i="1"/>
  <c r="O535" i="1" a="1"/>
  <c r="O535" i="1" s="1"/>
  <c r="N535" i="1"/>
  <c r="M535" i="1"/>
  <c r="O534" i="1" a="1"/>
  <c r="O534" i="1" s="1"/>
  <c r="N534" i="1"/>
  <c r="M534" i="1"/>
  <c r="O533" i="1"/>
  <c r="O533" i="1" a="1"/>
  <c r="N533" i="1"/>
  <c r="M533" i="1"/>
  <c r="O532" i="1" a="1"/>
  <c r="O532" i="1" s="1"/>
  <c r="N532" i="1"/>
  <c r="M532" i="1"/>
  <c r="O531" i="1"/>
  <c r="O531" i="1" a="1"/>
  <c r="N531" i="1"/>
  <c r="M531" i="1"/>
  <c r="O530" i="1" a="1"/>
  <c r="O530" i="1" s="1"/>
  <c r="N530" i="1"/>
  <c r="M530" i="1"/>
  <c r="O529" i="1" a="1"/>
  <c r="O529" i="1" s="1"/>
  <c r="N529" i="1"/>
  <c r="M529" i="1"/>
  <c r="O528" i="1"/>
  <c r="O528" i="1" a="1"/>
  <c r="N528" i="1"/>
  <c r="M528" i="1"/>
  <c r="O527" i="1" a="1"/>
  <c r="O527" i="1" s="1"/>
  <c r="N527" i="1"/>
  <c r="M527" i="1"/>
  <c r="O526" i="1"/>
  <c r="O526" i="1" a="1"/>
  <c r="N526" i="1"/>
  <c r="M526" i="1"/>
  <c r="O525" i="1" a="1"/>
  <c r="O525" i="1" s="1"/>
  <c r="N525" i="1"/>
  <c r="M525" i="1"/>
  <c r="O524" i="1"/>
  <c r="O524" i="1" a="1"/>
  <c r="N524" i="1"/>
  <c r="M524" i="1"/>
  <c r="O523" i="1" a="1"/>
  <c r="O523" i="1" s="1"/>
  <c r="N523" i="1"/>
  <c r="M523" i="1"/>
  <c r="O522" i="1" a="1"/>
  <c r="O522" i="1" s="1"/>
  <c r="N522" i="1"/>
  <c r="M522" i="1"/>
  <c r="O521" i="1"/>
  <c r="O521" i="1" a="1"/>
  <c r="N521" i="1"/>
  <c r="M521" i="1"/>
  <c r="O520" i="1" a="1"/>
  <c r="O520" i="1" s="1"/>
  <c r="N520" i="1"/>
  <c r="M520" i="1"/>
  <c r="O519" i="1" a="1"/>
  <c r="O519" i="1" s="1"/>
  <c r="N519" i="1"/>
  <c r="M519" i="1"/>
  <c r="O518" i="1" a="1"/>
  <c r="O518" i="1" s="1"/>
  <c r="N518" i="1"/>
  <c r="M518" i="1"/>
  <c r="O517" i="1"/>
  <c r="O517" i="1" a="1"/>
  <c r="N517" i="1"/>
  <c r="M517" i="1"/>
  <c r="O516" i="1" a="1"/>
  <c r="O516" i="1" s="1"/>
  <c r="N516" i="1"/>
  <c r="M516" i="1"/>
  <c r="O515" i="1"/>
  <c r="O515" i="1" a="1"/>
  <c r="N515" i="1"/>
  <c r="M515" i="1"/>
  <c r="O514" i="1" a="1"/>
  <c r="O514" i="1" s="1"/>
  <c r="N514" i="1"/>
  <c r="M514" i="1"/>
  <c r="O513" i="1" a="1"/>
  <c r="O513" i="1" s="1"/>
  <c r="N513" i="1"/>
  <c r="M513" i="1"/>
  <c r="O512" i="1"/>
  <c r="O512" i="1" a="1"/>
  <c r="N512" i="1"/>
  <c r="M512" i="1"/>
  <c r="O511" i="1"/>
  <c r="O511" i="1" a="1"/>
  <c r="N511" i="1"/>
  <c r="M511" i="1"/>
  <c r="O510" i="1"/>
  <c r="O510" i="1" a="1"/>
  <c r="N510" i="1"/>
  <c r="M510" i="1"/>
  <c r="O509" i="1" a="1"/>
  <c r="O509" i="1" s="1"/>
  <c r="N509" i="1"/>
  <c r="M509" i="1"/>
  <c r="O508" i="1" a="1"/>
  <c r="O508" i="1" s="1"/>
  <c r="N508" i="1"/>
  <c r="M508" i="1"/>
  <c r="O507" i="1"/>
  <c r="O507" i="1" a="1"/>
  <c r="N507" i="1"/>
  <c r="M507" i="1"/>
  <c r="O506" i="1" a="1"/>
  <c r="O506" i="1" s="1"/>
  <c r="N506" i="1"/>
  <c r="M506" i="1"/>
  <c r="O505" i="1" a="1"/>
  <c r="O505" i="1" s="1"/>
  <c r="N505" i="1"/>
  <c r="M505" i="1"/>
  <c r="O504" i="1" a="1"/>
  <c r="O504" i="1" s="1"/>
  <c r="N504" i="1"/>
  <c r="M504" i="1"/>
  <c r="O503" i="1"/>
  <c r="O503" i="1" a="1"/>
  <c r="N503" i="1"/>
  <c r="M503" i="1"/>
  <c r="O502" i="1" a="1"/>
  <c r="O502" i="1" s="1"/>
  <c r="N502" i="1"/>
  <c r="M502" i="1"/>
  <c r="O501" i="1" a="1"/>
  <c r="O501" i="1" s="1"/>
  <c r="N501" i="1"/>
  <c r="M501" i="1"/>
  <c r="O500" i="1" a="1"/>
  <c r="O500" i="1" s="1"/>
  <c r="N500" i="1"/>
  <c r="M500" i="1"/>
  <c r="O499" i="1"/>
  <c r="O499" i="1" a="1"/>
  <c r="N499" i="1"/>
  <c r="M499" i="1"/>
  <c r="O498" i="1" a="1"/>
  <c r="O498" i="1" s="1"/>
  <c r="N498" i="1"/>
  <c r="M498" i="1"/>
  <c r="O497" i="1"/>
  <c r="O497" i="1" a="1"/>
  <c r="N497" i="1"/>
  <c r="M497" i="1"/>
  <c r="O496" i="1"/>
  <c r="O496" i="1" a="1"/>
  <c r="N496" i="1"/>
  <c r="M496" i="1"/>
  <c r="O495" i="1" a="1"/>
  <c r="O495" i="1" s="1"/>
  <c r="N495" i="1"/>
  <c r="M495" i="1"/>
  <c r="O494" i="1"/>
  <c r="O494" i="1" a="1"/>
  <c r="N494" i="1"/>
  <c r="M494" i="1"/>
  <c r="O493" i="1" a="1"/>
  <c r="O493" i="1" s="1"/>
  <c r="N493" i="1"/>
  <c r="M493" i="1"/>
  <c r="O492" i="1" a="1"/>
  <c r="O492" i="1" s="1"/>
  <c r="N492" i="1"/>
  <c r="M492" i="1"/>
  <c r="O491" i="1"/>
  <c r="O491" i="1" a="1"/>
  <c r="N491" i="1"/>
  <c r="M491" i="1"/>
  <c r="O490" i="1" a="1"/>
  <c r="O490" i="1" s="1"/>
  <c r="N490" i="1"/>
  <c r="M490" i="1"/>
  <c r="O489" i="1"/>
  <c r="O489" i="1" a="1"/>
  <c r="N489" i="1"/>
  <c r="M489" i="1"/>
  <c r="O488" i="1" a="1"/>
  <c r="O488" i="1" s="1"/>
  <c r="N488" i="1"/>
  <c r="M488" i="1"/>
  <c r="O487" i="1" a="1"/>
  <c r="O487" i="1" s="1"/>
  <c r="N487" i="1"/>
  <c r="M487" i="1"/>
  <c r="O486" i="1"/>
  <c r="O486" i="1" a="1"/>
  <c r="N486" i="1"/>
  <c r="M486" i="1"/>
  <c r="O485" i="1" a="1"/>
  <c r="O485" i="1" s="1"/>
  <c r="N485" i="1"/>
  <c r="M485" i="1"/>
  <c r="O484" i="1" a="1"/>
  <c r="O484" i="1" s="1"/>
  <c r="N484" i="1"/>
  <c r="M484" i="1"/>
  <c r="O483" i="1"/>
  <c r="O483" i="1" a="1"/>
  <c r="N483" i="1"/>
  <c r="M483" i="1"/>
  <c r="O482" i="1"/>
  <c r="O482" i="1" a="1"/>
  <c r="N482" i="1"/>
  <c r="M482" i="1"/>
  <c r="O481" i="1" a="1"/>
  <c r="O481" i="1" s="1"/>
  <c r="N481" i="1"/>
  <c r="M481" i="1"/>
  <c r="O480" i="1" a="1"/>
  <c r="O480" i="1" s="1"/>
  <c r="N480" i="1"/>
  <c r="M480" i="1"/>
  <c r="O479" i="1"/>
  <c r="O479" i="1" a="1"/>
  <c r="N479" i="1"/>
  <c r="M479" i="1"/>
  <c r="O478" i="1" a="1"/>
  <c r="O478" i="1" s="1"/>
  <c r="N478" i="1"/>
  <c r="M478" i="1"/>
  <c r="O477" i="1" a="1"/>
  <c r="O477" i="1" s="1"/>
  <c r="N477" i="1"/>
  <c r="M477" i="1"/>
  <c r="O476" i="1"/>
  <c r="O476" i="1" a="1"/>
  <c r="N476" i="1"/>
  <c r="M476" i="1"/>
  <c r="O475" i="1"/>
  <c r="O475" i="1" a="1"/>
  <c r="N475" i="1"/>
  <c r="M475" i="1"/>
  <c r="O474" i="1" a="1"/>
  <c r="O474" i="1" s="1"/>
  <c r="N474" i="1"/>
  <c r="M474" i="1"/>
  <c r="O473" i="1" a="1"/>
  <c r="O473" i="1" s="1"/>
  <c r="N473" i="1"/>
  <c r="M473" i="1"/>
  <c r="O472" i="1"/>
  <c r="O472" i="1" a="1"/>
  <c r="N472" i="1"/>
  <c r="M472" i="1"/>
  <c r="O471" i="1" a="1"/>
  <c r="O471" i="1" s="1"/>
  <c r="N471" i="1"/>
  <c r="M471" i="1"/>
  <c r="O470" i="1"/>
  <c r="O470" i="1" a="1"/>
  <c r="N470" i="1"/>
  <c r="M470" i="1"/>
  <c r="O469" i="1" a="1"/>
  <c r="O469" i="1" s="1"/>
  <c r="N469" i="1"/>
  <c r="M469" i="1"/>
  <c r="O468" i="1"/>
  <c r="O468" i="1" a="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c r="O461" i="1" a="1"/>
  <c r="N461" i="1"/>
  <c r="M461" i="1"/>
  <c r="O460" i="1" a="1"/>
  <c r="O460" i="1" s="1"/>
  <c r="N460" i="1"/>
  <c r="M460" i="1"/>
  <c r="O459" i="1" a="1"/>
  <c r="O459" i="1" s="1"/>
  <c r="N459" i="1"/>
  <c r="M459" i="1"/>
  <c r="O458" i="1" a="1"/>
  <c r="O458" i="1" s="1"/>
  <c r="N458" i="1"/>
  <c r="M458" i="1"/>
  <c r="O457" i="1"/>
  <c r="O457" i="1" a="1"/>
  <c r="N457" i="1"/>
  <c r="M457" i="1"/>
  <c r="O456" i="1" a="1"/>
  <c r="O456" i="1" s="1"/>
  <c r="N456" i="1"/>
  <c r="M456" i="1"/>
  <c r="O455" i="1" a="1"/>
  <c r="O455" i="1" s="1"/>
  <c r="N455" i="1"/>
  <c r="M455" i="1"/>
  <c r="O454" i="1"/>
  <c r="O454" i="1" a="1"/>
  <c r="N454" i="1"/>
  <c r="M454" i="1"/>
  <c r="O453" i="1" a="1"/>
  <c r="O453" i="1" s="1"/>
  <c r="N453" i="1"/>
  <c r="M453" i="1"/>
  <c r="O452" i="1" a="1"/>
  <c r="O452" i="1" s="1"/>
  <c r="N452" i="1"/>
  <c r="M452" i="1"/>
  <c r="O451" i="1" a="1"/>
  <c r="O451" i="1" s="1"/>
  <c r="N451" i="1"/>
  <c r="M451" i="1"/>
  <c r="O450" i="1" a="1"/>
  <c r="O450" i="1" s="1"/>
  <c r="N450" i="1"/>
  <c r="M450" i="1"/>
  <c r="O449" i="1"/>
  <c r="O449" i="1" a="1"/>
  <c r="N449" i="1"/>
  <c r="M449" i="1"/>
  <c r="O448" i="1" a="1"/>
  <c r="O448" i="1" s="1"/>
  <c r="N448" i="1"/>
  <c r="M448" i="1"/>
  <c r="O447" i="1"/>
  <c r="O447" i="1" a="1"/>
  <c r="N447" i="1"/>
  <c r="M447" i="1"/>
  <c r="O446" i="1" a="1"/>
  <c r="O446" i="1" s="1"/>
  <c r="N446" i="1"/>
  <c r="M446" i="1"/>
  <c r="O445" i="1" a="1"/>
  <c r="O445" i="1" s="1"/>
  <c r="N445" i="1"/>
  <c r="M445" i="1"/>
  <c r="O444" i="1"/>
  <c r="O444" i="1" a="1"/>
  <c r="N444" i="1"/>
  <c r="M444" i="1"/>
  <c r="O443" i="1" a="1"/>
  <c r="O443" i="1" s="1"/>
  <c r="N443" i="1"/>
  <c r="M443" i="1"/>
  <c r="O442" i="1" a="1"/>
  <c r="O442" i="1" s="1"/>
  <c r="N442" i="1"/>
  <c r="M442" i="1"/>
  <c r="O441" i="1"/>
  <c r="O441" i="1" a="1"/>
  <c r="N441" i="1"/>
  <c r="M441" i="1"/>
  <c r="O440" i="1"/>
  <c r="O440" i="1" a="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c r="O433" i="1" a="1"/>
  <c r="N433" i="1"/>
  <c r="M433" i="1"/>
  <c r="O432" i="1" a="1"/>
  <c r="O432" i="1" s="1"/>
  <c r="N432" i="1"/>
  <c r="M432" i="1"/>
  <c r="O431" i="1"/>
  <c r="O431" i="1" a="1"/>
  <c r="N431" i="1"/>
  <c r="M431" i="1"/>
  <c r="O430" i="1"/>
  <c r="O430" i="1" a="1"/>
  <c r="N430" i="1"/>
  <c r="M430" i="1"/>
  <c r="O429" i="1" a="1"/>
  <c r="O429" i="1" s="1"/>
  <c r="N429" i="1"/>
  <c r="M429" i="1"/>
  <c r="O428" i="1"/>
  <c r="O428" i="1" a="1"/>
  <c r="N428" i="1"/>
  <c r="M428" i="1"/>
  <c r="O427" i="1" a="1"/>
  <c r="O427" i="1" s="1"/>
  <c r="N427" i="1"/>
  <c r="M427" i="1"/>
  <c r="O426" i="1"/>
  <c r="O426" i="1" a="1"/>
  <c r="N426" i="1"/>
  <c r="M426" i="1"/>
  <c r="O425" i="1" a="1"/>
  <c r="O425" i="1" s="1"/>
  <c r="N425" i="1"/>
  <c r="M425" i="1"/>
  <c r="O424" i="1" a="1"/>
  <c r="O424" i="1" s="1"/>
  <c r="N424" i="1"/>
  <c r="M424" i="1"/>
  <c r="O423" i="1"/>
  <c r="O423" i="1" a="1"/>
  <c r="N423" i="1"/>
  <c r="M423" i="1"/>
  <c r="O422" i="1" a="1"/>
  <c r="O422" i="1" s="1"/>
  <c r="N422" i="1"/>
  <c r="M422" i="1"/>
  <c r="O421" i="1"/>
  <c r="O421" i="1" a="1"/>
  <c r="N421" i="1"/>
  <c r="M421" i="1"/>
  <c r="O420" i="1"/>
  <c r="O420" i="1" a="1"/>
  <c r="N420" i="1"/>
  <c r="M420" i="1"/>
  <c r="O419" i="1"/>
  <c r="O419" i="1" a="1"/>
  <c r="N419" i="1"/>
  <c r="M419" i="1"/>
  <c r="O418" i="1" a="1"/>
  <c r="O418" i="1" s="1"/>
  <c r="N418" i="1"/>
  <c r="M418" i="1"/>
  <c r="O417" i="1" a="1"/>
  <c r="O417" i="1" s="1"/>
  <c r="N417" i="1"/>
  <c r="M417" i="1"/>
  <c r="O416" i="1" a="1"/>
  <c r="O416" i="1" s="1"/>
  <c r="N416" i="1"/>
  <c r="M416" i="1"/>
  <c r="O415" i="1" a="1"/>
  <c r="O415" i="1" s="1"/>
  <c r="N415" i="1"/>
  <c r="M415" i="1"/>
  <c r="O414" i="1"/>
  <c r="O414" i="1" a="1"/>
  <c r="N414" i="1"/>
  <c r="M414" i="1"/>
  <c r="O413" i="1" a="1"/>
  <c r="O413" i="1" s="1"/>
  <c r="N413" i="1"/>
  <c r="M413" i="1"/>
  <c r="O412" i="1"/>
  <c r="O412" i="1" a="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c r="O405" i="1" a="1"/>
  <c r="N405" i="1"/>
  <c r="M405" i="1"/>
  <c r="O404" i="1" a="1"/>
  <c r="O404" i="1" s="1"/>
  <c r="N404" i="1"/>
  <c r="M404" i="1"/>
  <c r="O403" i="1"/>
  <c r="O403" i="1" a="1"/>
  <c r="N403" i="1"/>
  <c r="M403" i="1"/>
  <c r="O402" i="1"/>
  <c r="O402" i="1" a="1"/>
  <c r="N402" i="1"/>
  <c r="M402" i="1"/>
  <c r="O401" i="1" a="1"/>
  <c r="O401" i="1" s="1"/>
  <c r="N401" i="1"/>
  <c r="M401" i="1"/>
  <c r="O400" i="1"/>
  <c r="O400" i="1" a="1"/>
  <c r="N400" i="1"/>
  <c r="M400" i="1"/>
  <c r="O399" i="1"/>
  <c r="O399" i="1" a="1"/>
  <c r="N399" i="1"/>
  <c r="M399" i="1"/>
  <c r="O398" i="1"/>
  <c r="O398" i="1" a="1"/>
  <c r="N398" i="1"/>
  <c r="M398" i="1"/>
  <c r="O397" i="1" a="1"/>
  <c r="O397" i="1" s="1"/>
  <c r="N397" i="1"/>
  <c r="M397" i="1"/>
  <c r="O396" i="1"/>
  <c r="O396" i="1" a="1"/>
  <c r="N396" i="1"/>
  <c r="M396" i="1"/>
  <c r="O395" i="1" a="1"/>
  <c r="O395" i="1" s="1"/>
  <c r="N395" i="1"/>
  <c r="M395" i="1"/>
  <c r="O394" i="1" a="1"/>
  <c r="O394" i="1" s="1"/>
  <c r="N394" i="1"/>
  <c r="M394" i="1"/>
  <c r="O393" i="1" a="1"/>
  <c r="O393" i="1" s="1"/>
  <c r="N393" i="1"/>
  <c r="M393" i="1"/>
  <c r="O392" i="1" a="1"/>
  <c r="O392" i="1" s="1"/>
  <c r="N392" i="1"/>
  <c r="M392" i="1"/>
  <c r="O391" i="1"/>
  <c r="O391" i="1" a="1"/>
  <c r="N391" i="1"/>
  <c r="M391" i="1"/>
  <c r="O390" i="1" a="1"/>
  <c r="O390" i="1" s="1"/>
  <c r="N390" i="1"/>
  <c r="M390" i="1"/>
  <c r="O389" i="1" a="1"/>
  <c r="O389" i="1" s="1"/>
  <c r="N389" i="1"/>
  <c r="M389" i="1"/>
  <c r="O388" i="1"/>
  <c r="O388" i="1" a="1"/>
  <c r="N388" i="1"/>
  <c r="M388" i="1"/>
  <c r="O387" i="1" a="1"/>
  <c r="O387" i="1" s="1"/>
  <c r="N387" i="1"/>
  <c r="M387" i="1"/>
  <c r="O386" i="1"/>
  <c r="O386" i="1" a="1"/>
  <c r="N386" i="1"/>
  <c r="M386" i="1"/>
  <c r="O385" i="1"/>
  <c r="O385" i="1" a="1"/>
  <c r="N385" i="1"/>
  <c r="M385" i="1"/>
  <c r="O384" i="1"/>
  <c r="O384" i="1" a="1"/>
  <c r="N384" i="1"/>
  <c r="M384" i="1"/>
  <c r="O383" i="1" a="1"/>
  <c r="O383" i="1" s="1"/>
  <c r="N383" i="1"/>
  <c r="M383" i="1"/>
  <c r="O382" i="1"/>
  <c r="O382" i="1" a="1"/>
  <c r="N382" i="1"/>
  <c r="M382" i="1"/>
  <c r="O381" i="1" a="1"/>
  <c r="O381" i="1" s="1"/>
  <c r="N381" i="1"/>
  <c r="M381" i="1"/>
  <c r="O380" i="1" a="1"/>
  <c r="O380" i="1" s="1"/>
  <c r="N380" i="1"/>
  <c r="M380" i="1"/>
  <c r="O379" i="1" a="1"/>
  <c r="O379" i="1" s="1"/>
  <c r="N379" i="1"/>
  <c r="M379" i="1"/>
  <c r="O378" i="1" a="1"/>
  <c r="O378" i="1" s="1"/>
  <c r="N378" i="1"/>
  <c r="M378" i="1"/>
  <c r="O377" i="1"/>
  <c r="O377" i="1" a="1"/>
  <c r="N377" i="1"/>
  <c r="M377" i="1"/>
  <c r="O376" i="1" a="1"/>
  <c r="O376" i="1" s="1"/>
  <c r="N376" i="1"/>
  <c r="M376" i="1"/>
  <c r="O375" i="1" a="1"/>
  <c r="O375" i="1" s="1"/>
  <c r="N375" i="1"/>
  <c r="M375" i="1"/>
  <c r="O374" i="1"/>
  <c r="O374" i="1" a="1"/>
  <c r="N374" i="1"/>
  <c r="M374" i="1"/>
  <c r="O373" i="1"/>
  <c r="O373" i="1" a="1"/>
  <c r="N373" i="1"/>
  <c r="M373" i="1"/>
  <c r="O372" i="1" a="1"/>
  <c r="O372" i="1" s="1"/>
  <c r="N372" i="1"/>
  <c r="M372" i="1"/>
  <c r="O371" i="1"/>
  <c r="O371" i="1" a="1"/>
  <c r="N371" i="1"/>
  <c r="M371" i="1"/>
  <c r="O370" i="1"/>
  <c r="O370" i="1" a="1"/>
  <c r="N370" i="1"/>
  <c r="M370" i="1"/>
  <c r="O369" i="1" a="1"/>
  <c r="O369" i="1" s="1"/>
  <c r="N369" i="1"/>
  <c r="M369" i="1"/>
  <c r="O368" i="1" a="1"/>
  <c r="O368" i="1" s="1"/>
  <c r="N368" i="1"/>
  <c r="M368" i="1"/>
  <c r="O367" i="1" a="1"/>
  <c r="O367" i="1" s="1"/>
  <c r="N367" i="1"/>
  <c r="M367" i="1"/>
  <c r="O366" i="1"/>
  <c r="O366" i="1" a="1"/>
  <c r="N366" i="1"/>
  <c r="M366" i="1"/>
  <c r="O365" i="1" a="1"/>
  <c r="O365" i="1" s="1"/>
  <c r="N365" i="1"/>
  <c r="M365" i="1"/>
  <c r="O364" i="1" a="1"/>
  <c r="O364" i="1" s="1"/>
  <c r="N364" i="1"/>
  <c r="M364" i="1"/>
  <c r="O363" i="1"/>
  <c r="O363" i="1" a="1"/>
  <c r="N363" i="1"/>
  <c r="M363" i="1"/>
  <c r="O362" i="1" a="1"/>
  <c r="O362" i="1" s="1"/>
  <c r="N362" i="1"/>
  <c r="M362" i="1"/>
  <c r="O361" i="1"/>
  <c r="O361" i="1" a="1"/>
  <c r="N361" i="1"/>
  <c r="M361" i="1"/>
  <c r="O360" i="1" a="1"/>
  <c r="O360" i="1" s="1"/>
  <c r="N360" i="1"/>
  <c r="M360" i="1"/>
  <c r="O359" i="1" a="1"/>
  <c r="O359" i="1" s="1"/>
  <c r="N359" i="1"/>
  <c r="M359" i="1"/>
  <c r="O358" i="1" a="1"/>
  <c r="O358" i="1" s="1"/>
  <c r="N358" i="1"/>
  <c r="M358" i="1"/>
  <c r="O357" i="1" a="1"/>
  <c r="O357" i="1" s="1"/>
  <c r="N357" i="1"/>
  <c r="M357" i="1"/>
  <c r="O356" i="1"/>
  <c r="O356" i="1" a="1"/>
  <c r="N356" i="1"/>
  <c r="M356" i="1"/>
  <c r="O355" i="1" a="1"/>
  <c r="O355" i="1" s="1"/>
  <c r="N355" i="1"/>
  <c r="M355" i="1"/>
  <c r="O354" i="1" a="1"/>
  <c r="O354" i="1" s="1"/>
  <c r="N354" i="1"/>
  <c r="M354" i="1"/>
  <c r="O353" i="1"/>
  <c r="O353" i="1" a="1"/>
  <c r="N353" i="1"/>
  <c r="M353" i="1"/>
  <c r="O352" i="1" a="1"/>
  <c r="O352" i="1" s="1"/>
  <c r="N352" i="1"/>
  <c r="M352" i="1"/>
  <c r="O351" i="1" a="1"/>
  <c r="O351" i="1" s="1"/>
  <c r="N351" i="1"/>
  <c r="M351" i="1"/>
  <c r="O350" i="1"/>
  <c r="O350" i="1" a="1"/>
  <c r="N350" i="1"/>
  <c r="M350" i="1"/>
  <c r="O349" i="1"/>
  <c r="O349" i="1" a="1"/>
  <c r="N349" i="1"/>
  <c r="M349" i="1"/>
  <c r="O348" i="1" a="1"/>
  <c r="O348" i="1" s="1"/>
  <c r="N348" i="1"/>
  <c r="M348" i="1"/>
  <c r="O347" i="1"/>
  <c r="O347" i="1" a="1"/>
  <c r="N347" i="1"/>
  <c r="M347" i="1"/>
  <c r="O346" i="1" a="1"/>
  <c r="O346" i="1" s="1"/>
  <c r="N346" i="1"/>
  <c r="M346" i="1"/>
  <c r="O345" i="1"/>
  <c r="O345" i="1" a="1"/>
  <c r="N345" i="1"/>
  <c r="M345" i="1"/>
  <c r="O344" i="1"/>
  <c r="O344" i="1" a="1"/>
  <c r="N344" i="1"/>
  <c r="M344" i="1"/>
  <c r="O343" i="1"/>
  <c r="O343" i="1" a="1"/>
  <c r="N343" i="1"/>
  <c r="M343" i="1"/>
  <c r="O342" i="1"/>
  <c r="O342" i="1" a="1"/>
  <c r="N342" i="1"/>
  <c r="M342" i="1"/>
  <c r="O341" i="1" a="1"/>
  <c r="O341" i="1" s="1"/>
  <c r="N341" i="1"/>
  <c r="M341" i="1"/>
  <c r="O340" i="1"/>
  <c r="O340" i="1" a="1"/>
  <c r="N340" i="1"/>
  <c r="M340" i="1"/>
  <c r="O339" i="1" a="1"/>
  <c r="O339" i="1" s="1"/>
  <c r="N339" i="1"/>
  <c r="M339" i="1"/>
  <c r="O338" i="1" a="1"/>
  <c r="O338" i="1" s="1"/>
  <c r="N338" i="1"/>
  <c r="M338" i="1"/>
  <c r="O337" i="1" a="1"/>
  <c r="O337" i="1" s="1"/>
  <c r="N337" i="1"/>
  <c r="M337" i="1"/>
  <c r="O336" i="1"/>
  <c r="O336" i="1" a="1"/>
  <c r="N336" i="1"/>
  <c r="M336" i="1"/>
  <c r="O335" i="1"/>
  <c r="O335" i="1" a="1"/>
  <c r="N335" i="1"/>
  <c r="M335" i="1"/>
  <c r="O334" i="1" a="1"/>
  <c r="O334" i="1" s="1"/>
  <c r="N334" i="1"/>
  <c r="M334" i="1"/>
  <c r="O333" i="1" a="1"/>
  <c r="O333" i="1" s="1"/>
  <c r="N333" i="1"/>
  <c r="M333" i="1"/>
  <c r="O332" i="1"/>
  <c r="O332" i="1" a="1"/>
  <c r="N332" i="1"/>
  <c r="M332" i="1"/>
  <c r="O331" i="1" a="1"/>
  <c r="O331" i="1" s="1"/>
  <c r="N331" i="1"/>
  <c r="M331" i="1"/>
  <c r="O330" i="1" a="1"/>
  <c r="O330" i="1" s="1"/>
  <c r="N330" i="1"/>
  <c r="M330" i="1"/>
  <c r="O329" i="1" a="1"/>
  <c r="O329" i="1" s="1"/>
  <c r="N329" i="1"/>
  <c r="M329" i="1"/>
  <c r="O328" i="1"/>
  <c r="O328" i="1" a="1"/>
  <c r="N328" i="1"/>
  <c r="M328" i="1"/>
  <c r="O327" i="1" a="1"/>
  <c r="O327" i="1" s="1"/>
  <c r="N327" i="1"/>
  <c r="M327" i="1"/>
  <c r="O326" i="1" a="1"/>
  <c r="O326" i="1" s="1"/>
  <c r="N326" i="1"/>
  <c r="M326" i="1"/>
  <c r="O325" i="1"/>
  <c r="O325" i="1" a="1"/>
  <c r="N325" i="1"/>
  <c r="M325" i="1"/>
  <c r="O324" i="1" a="1"/>
  <c r="O324" i="1" s="1"/>
  <c r="N324" i="1"/>
  <c r="M324" i="1"/>
  <c r="O323" i="1" a="1"/>
  <c r="O323" i="1" s="1"/>
  <c r="N323" i="1"/>
  <c r="M323" i="1"/>
  <c r="O322" i="1" a="1"/>
  <c r="O322" i="1" s="1"/>
  <c r="N322" i="1"/>
  <c r="M322" i="1"/>
  <c r="O321" i="1" a="1"/>
  <c r="O321" i="1" s="1"/>
  <c r="N321" i="1"/>
  <c r="M321" i="1"/>
  <c r="O320" i="1"/>
  <c r="O320" i="1" a="1"/>
  <c r="N320" i="1"/>
  <c r="M320" i="1"/>
  <c r="O319" i="1" a="1"/>
  <c r="O319" i="1" s="1"/>
  <c r="N319" i="1"/>
  <c r="M319" i="1"/>
  <c r="O318" i="1"/>
  <c r="O318" i="1" a="1"/>
  <c r="N318" i="1"/>
  <c r="M318" i="1"/>
  <c r="O317" i="1"/>
  <c r="O317" i="1" a="1"/>
  <c r="N317" i="1"/>
  <c r="M317" i="1"/>
  <c r="O316" i="1" a="1"/>
  <c r="O316" i="1" s="1"/>
  <c r="N316" i="1"/>
  <c r="M316" i="1"/>
  <c r="O315" i="1" a="1"/>
  <c r="O315" i="1" s="1"/>
  <c r="N315" i="1"/>
  <c r="M315" i="1"/>
  <c r="O314" i="1"/>
  <c r="O314" i="1" a="1"/>
  <c r="N314" i="1"/>
  <c r="M314" i="1"/>
  <c r="O313" i="1" a="1"/>
  <c r="O313" i="1" s="1"/>
  <c r="N313" i="1"/>
  <c r="M313" i="1"/>
  <c r="O312" i="1" a="1"/>
  <c r="O312" i="1" s="1"/>
  <c r="N312" i="1"/>
  <c r="M312" i="1"/>
  <c r="O311" i="1"/>
  <c r="O311" i="1" a="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c r="O304" i="1" a="1"/>
  <c r="N304" i="1"/>
  <c r="M304" i="1"/>
  <c r="O303" i="1"/>
  <c r="O303" i="1" a="1"/>
  <c r="N303" i="1"/>
  <c r="M303" i="1"/>
  <c r="O302" i="1"/>
  <c r="O302" i="1" a="1"/>
  <c r="N302" i="1"/>
  <c r="M302" i="1"/>
  <c r="O301" i="1" a="1"/>
  <c r="O301" i="1" s="1"/>
  <c r="N301" i="1"/>
  <c r="M301" i="1"/>
  <c r="O300" i="1" a="1"/>
  <c r="O300" i="1" s="1"/>
  <c r="N300" i="1"/>
  <c r="M300" i="1"/>
  <c r="O299" i="1"/>
  <c r="O299" i="1" a="1"/>
  <c r="N299" i="1"/>
  <c r="M299" i="1"/>
  <c r="O298" i="1" a="1"/>
  <c r="O298" i="1" s="1"/>
  <c r="N298" i="1"/>
  <c r="M298" i="1"/>
  <c r="O297" i="1"/>
  <c r="O297" i="1" a="1"/>
  <c r="N297" i="1"/>
  <c r="M297" i="1"/>
  <c r="O296" i="1" a="1"/>
  <c r="O296" i="1" s="1"/>
  <c r="N296" i="1"/>
  <c r="M296" i="1"/>
  <c r="O295" i="1" a="1"/>
  <c r="O295" i="1" s="1"/>
  <c r="N295" i="1"/>
  <c r="M295" i="1"/>
  <c r="O294" i="1" a="1"/>
  <c r="O294" i="1" s="1"/>
  <c r="N294" i="1"/>
  <c r="M294" i="1"/>
  <c r="O293" i="1"/>
  <c r="O293" i="1" a="1"/>
  <c r="N293" i="1"/>
  <c r="M293" i="1"/>
  <c r="O292" i="1" a="1"/>
  <c r="O292" i="1" s="1"/>
  <c r="N292" i="1"/>
  <c r="M292" i="1"/>
  <c r="O291" i="1" a="1"/>
  <c r="O291" i="1" s="1"/>
  <c r="N291" i="1"/>
  <c r="M291" i="1"/>
  <c r="O290" i="1"/>
  <c r="O290" i="1" a="1"/>
  <c r="N290" i="1"/>
  <c r="M290" i="1"/>
  <c r="O289" i="1" a="1"/>
  <c r="O289" i="1" s="1"/>
  <c r="N289" i="1"/>
  <c r="M289" i="1"/>
  <c r="O288" i="1"/>
  <c r="O288" i="1" a="1"/>
  <c r="N288" i="1"/>
  <c r="M288" i="1"/>
  <c r="O287" i="1" a="1"/>
  <c r="O287" i="1" s="1"/>
  <c r="N287" i="1"/>
  <c r="M287" i="1"/>
  <c r="O286" i="1" a="1"/>
  <c r="O286" i="1" s="1"/>
  <c r="N286" i="1"/>
  <c r="M286" i="1"/>
  <c r="O285" i="1" a="1"/>
  <c r="O285" i="1" s="1"/>
  <c r="N285" i="1"/>
  <c r="M285" i="1"/>
  <c r="O284" i="1" a="1"/>
  <c r="O284" i="1" s="1"/>
  <c r="N284" i="1"/>
  <c r="M284" i="1"/>
  <c r="O283" i="1"/>
  <c r="O283" i="1" a="1"/>
  <c r="N283" i="1"/>
  <c r="M283" i="1"/>
  <c r="O282" i="1" a="1"/>
  <c r="O282" i="1" s="1"/>
  <c r="N282" i="1"/>
  <c r="M282" i="1"/>
  <c r="O281" i="1" a="1"/>
  <c r="O281" i="1" s="1"/>
  <c r="N281" i="1"/>
  <c r="M281" i="1"/>
  <c r="O280" i="1" a="1"/>
  <c r="O280" i="1" s="1"/>
  <c r="N280" i="1"/>
  <c r="M280" i="1"/>
  <c r="O279" i="1" a="1"/>
  <c r="O279" i="1" s="1"/>
  <c r="N279" i="1"/>
  <c r="M279" i="1"/>
  <c r="O278" i="1"/>
  <c r="O278" i="1" a="1"/>
  <c r="N278" i="1"/>
  <c r="M278" i="1"/>
  <c r="O277" i="1" a="1"/>
  <c r="O277" i="1" s="1"/>
  <c r="N277" i="1"/>
  <c r="M277" i="1"/>
  <c r="O276" i="1"/>
  <c r="O276" i="1" a="1"/>
  <c r="N276" i="1"/>
  <c r="M276" i="1"/>
  <c r="O275" i="1"/>
  <c r="O275" i="1" a="1"/>
  <c r="N275" i="1"/>
  <c r="M275" i="1"/>
  <c r="O274" i="1" a="1"/>
  <c r="O274" i="1" s="1"/>
  <c r="N274" i="1"/>
  <c r="M274" i="1"/>
  <c r="O273" i="1" a="1"/>
  <c r="O273" i="1" s="1"/>
  <c r="N273" i="1"/>
  <c r="M273" i="1"/>
  <c r="O272" i="1"/>
  <c r="O272" i="1" a="1"/>
  <c r="N272" i="1"/>
  <c r="M272" i="1"/>
  <c r="O271" i="1" a="1"/>
  <c r="O271" i="1" s="1"/>
  <c r="N271" i="1"/>
  <c r="M271" i="1"/>
  <c r="O270" i="1" a="1"/>
  <c r="O270" i="1" s="1"/>
  <c r="N270" i="1"/>
  <c r="M270" i="1"/>
  <c r="O269" i="1"/>
  <c r="O269" i="1" a="1"/>
  <c r="N269" i="1"/>
  <c r="M269" i="1"/>
  <c r="O268" i="1"/>
  <c r="O268" i="1" a="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c r="O262" i="1" a="1"/>
  <c r="N262" i="1"/>
  <c r="M262" i="1"/>
  <c r="O261" i="1" a="1"/>
  <c r="O261" i="1" s="1"/>
  <c r="N261" i="1"/>
  <c r="M261" i="1"/>
  <c r="O260" i="1"/>
  <c r="O260" i="1" a="1"/>
  <c r="N260" i="1"/>
  <c r="M260" i="1"/>
  <c r="O259" i="1" a="1"/>
  <c r="O259" i="1" s="1"/>
  <c r="N259" i="1"/>
  <c r="M259" i="1"/>
  <c r="O258" i="1" a="1"/>
  <c r="O258" i="1" s="1"/>
  <c r="N258" i="1"/>
  <c r="M258" i="1"/>
  <c r="O257" i="1"/>
  <c r="O257" i="1" a="1"/>
  <c r="N257" i="1"/>
  <c r="M257" i="1"/>
  <c r="O256" i="1" a="1"/>
  <c r="O256" i="1" s="1"/>
  <c r="N256" i="1"/>
  <c r="M256" i="1"/>
  <c r="O255" i="1" a="1"/>
  <c r="O255" i="1" s="1"/>
  <c r="N255" i="1"/>
  <c r="M255" i="1"/>
  <c r="O254" i="1" a="1"/>
  <c r="O254" i="1" s="1"/>
  <c r="N254" i="1"/>
  <c r="M254" i="1"/>
  <c r="O253" i="1"/>
  <c r="O253" i="1" a="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c r="O237" i="1" a="1"/>
  <c r="N237" i="1"/>
  <c r="M237" i="1"/>
  <c r="O236" i="1" a="1"/>
  <c r="O236" i="1" s="1"/>
  <c r="N236" i="1"/>
  <c r="M236" i="1"/>
  <c r="O235" i="1" a="1"/>
  <c r="O235" i="1" s="1"/>
  <c r="N235" i="1"/>
  <c r="M235" i="1"/>
  <c r="O234" i="1"/>
  <c r="O234" i="1" a="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c r="O220" i="1" a="1"/>
  <c r="N220" i="1"/>
  <c r="M220" i="1"/>
  <c r="O219" i="1"/>
  <c r="O219" i="1" a="1"/>
  <c r="N219" i="1"/>
  <c r="M219" i="1"/>
  <c r="O218" i="1" a="1"/>
  <c r="O218" i="1" s="1"/>
  <c r="N218" i="1"/>
  <c r="M218" i="1"/>
  <c r="O217" i="1" a="1"/>
  <c r="O217" i="1" s="1"/>
  <c r="N217" i="1"/>
  <c r="M217" i="1"/>
  <c r="O216" i="1"/>
  <c r="O216" i="1" a="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c r="O205" i="1" a="1"/>
  <c r="N205" i="1"/>
  <c r="M205" i="1"/>
  <c r="O204" i="1"/>
  <c r="O204" i="1" a="1"/>
  <c r="N204" i="1"/>
  <c r="M204" i="1"/>
  <c r="O203" i="1" a="1"/>
  <c r="O203" i="1" s="1"/>
  <c r="N203" i="1"/>
  <c r="M203" i="1"/>
  <c r="O202" i="1" a="1"/>
  <c r="O202" i="1" s="1"/>
  <c r="N202" i="1"/>
  <c r="M202" i="1"/>
  <c r="O201" i="1"/>
  <c r="O201" i="1" a="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c r="O195" i="1" a="1"/>
  <c r="N195" i="1"/>
  <c r="M195" i="1"/>
  <c r="O194" i="1" a="1"/>
  <c r="O194" i="1" s="1"/>
  <c r="N194" i="1"/>
  <c r="M194" i="1"/>
  <c r="O193" i="1" a="1"/>
  <c r="O193" i="1" s="1"/>
  <c r="N193" i="1"/>
  <c r="M193" i="1"/>
  <c r="O192" i="1"/>
  <c r="O192" i="1" a="1"/>
  <c r="N192" i="1"/>
  <c r="M192" i="1"/>
  <c r="O191" i="1" a="1"/>
  <c r="O191" i="1" s="1"/>
  <c r="N191" i="1"/>
  <c r="M191" i="1"/>
  <c r="O190" i="1"/>
  <c r="O190" i="1" a="1"/>
  <c r="N190" i="1"/>
  <c r="M190" i="1"/>
  <c r="O189" i="1" a="1"/>
  <c r="O189" i="1" s="1"/>
  <c r="N189" i="1"/>
  <c r="M189" i="1"/>
  <c r="O188" i="1" a="1"/>
  <c r="O188" i="1" s="1"/>
  <c r="N188" i="1"/>
  <c r="M188" i="1"/>
  <c r="O187" i="1" a="1"/>
  <c r="O187" i="1" s="1"/>
  <c r="N187" i="1"/>
  <c r="M187" i="1"/>
  <c r="O186" i="1" a="1"/>
  <c r="O186" i="1" s="1"/>
  <c r="N186" i="1"/>
  <c r="M186" i="1"/>
  <c r="O185" i="1"/>
  <c r="O185" i="1" a="1"/>
  <c r="N185" i="1"/>
  <c r="M185" i="1"/>
  <c r="O184" i="1" a="1"/>
  <c r="O184" i="1" s="1"/>
  <c r="N184" i="1"/>
  <c r="M184" i="1"/>
  <c r="O183" i="1" a="1"/>
  <c r="O183" i="1" s="1"/>
  <c r="N183" i="1"/>
  <c r="M183" i="1"/>
  <c r="O182" i="1" a="1"/>
  <c r="O182" i="1" s="1"/>
  <c r="N182" i="1"/>
  <c r="M182" i="1"/>
  <c r="O181" i="1" a="1"/>
  <c r="O181" i="1" s="1"/>
  <c r="N181" i="1"/>
  <c r="M181" i="1"/>
  <c r="O180" i="1"/>
  <c r="O180" i="1" a="1"/>
  <c r="N180" i="1"/>
  <c r="M180" i="1"/>
  <c r="O179" i="1" a="1"/>
  <c r="O179" i="1" s="1"/>
  <c r="N179" i="1"/>
  <c r="M179" i="1"/>
  <c r="O178" i="1" a="1"/>
  <c r="O178" i="1" s="1"/>
  <c r="N178" i="1"/>
  <c r="M178" i="1"/>
  <c r="O177" i="1"/>
  <c r="O177" i="1" a="1"/>
  <c r="N177" i="1"/>
  <c r="M177" i="1"/>
  <c r="O176" i="1" a="1"/>
  <c r="O176" i="1" s="1"/>
  <c r="N176" i="1"/>
  <c r="M176" i="1"/>
  <c r="O175" i="1" a="1"/>
  <c r="O175" i="1" s="1"/>
  <c r="N175" i="1"/>
  <c r="M175" i="1"/>
  <c r="O174" i="1"/>
  <c r="O174" i="1" a="1"/>
  <c r="N174" i="1"/>
  <c r="M174" i="1"/>
  <c r="O173" i="1" a="1"/>
  <c r="O173" i="1" s="1"/>
  <c r="N173" i="1"/>
  <c r="M173" i="1"/>
  <c r="O172" i="1" a="1"/>
  <c r="O172" i="1" s="1"/>
  <c r="N172" i="1"/>
  <c r="M172" i="1"/>
  <c r="O171" i="1" a="1"/>
  <c r="O171" i="1" s="1"/>
  <c r="N171" i="1"/>
  <c r="M171" i="1"/>
  <c r="O170" i="1"/>
  <c r="O170" i="1" a="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c r="O162" i="1" a="1"/>
  <c r="N162" i="1"/>
  <c r="M162" i="1"/>
  <c r="O161" i="1" a="1"/>
  <c r="O161" i="1" s="1"/>
  <c r="N161" i="1"/>
  <c r="M161" i="1"/>
  <c r="O160" i="1" a="1"/>
  <c r="O160" i="1" s="1"/>
  <c r="N160" i="1"/>
  <c r="M160" i="1"/>
  <c r="O159" i="1"/>
  <c r="O159" i="1" a="1"/>
  <c r="N159" i="1"/>
  <c r="M159" i="1"/>
  <c r="O158" i="1" a="1"/>
  <c r="O158" i="1" s="1"/>
  <c r="N158" i="1"/>
  <c r="M158" i="1"/>
  <c r="O157" i="1"/>
  <c r="O157" i="1" a="1"/>
  <c r="N157" i="1"/>
  <c r="M157" i="1"/>
  <c r="O156" i="1" a="1"/>
  <c r="O156" i="1" s="1"/>
  <c r="N156" i="1"/>
  <c r="M156" i="1"/>
  <c r="O155" i="1"/>
  <c r="O155" i="1" a="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c r="O142" i="1" a="1"/>
  <c r="N142" i="1"/>
  <c r="M142" i="1"/>
  <c r="O141" i="1" a="1"/>
  <c r="O141" i="1" s="1"/>
  <c r="N141" i="1"/>
  <c r="M141" i="1"/>
  <c r="O140" i="1" a="1"/>
  <c r="O140" i="1" s="1"/>
  <c r="N140" i="1"/>
  <c r="M140" i="1"/>
  <c r="O139" i="1"/>
  <c r="O139" i="1" a="1"/>
  <c r="N139" i="1"/>
  <c r="M139" i="1"/>
  <c r="O138" i="1" a="1"/>
  <c r="O138" i="1" s="1"/>
  <c r="N138" i="1"/>
  <c r="M138" i="1"/>
  <c r="O137" i="1" a="1"/>
  <c r="O137" i="1" s="1"/>
  <c r="N137" i="1"/>
  <c r="M137" i="1"/>
  <c r="O136" i="1"/>
  <c r="O136" i="1" a="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c r="O127" i="1" a="1"/>
  <c r="N127" i="1"/>
  <c r="M127" i="1"/>
  <c r="O126" i="1" a="1"/>
  <c r="O126" i="1" s="1"/>
  <c r="N126" i="1"/>
  <c r="M126" i="1"/>
  <c r="O125" i="1" a="1"/>
  <c r="O125" i="1" s="1"/>
  <c r="N125" i="1"/>
  <c r="M125" i="1"/>
  <c r="O124" i="1"/>
  <c r="O124" i="1" a="1"/>
  <c r="N124" i="1"/>
  <c r="M124" i="1"/>
  <c r="O123" i="1" a="1"/>
  <c r="O123" i="1" s="1"/>
  <c r="N123" i="1"/>
  <c r="M123" i="1"/>
  <c r="O122" i="1"/>
  <c r="O122" i="1" a="1"/>
  <c r="N122" i="1"/>
  <c r="M122" i="1"/>
  <c r="O121" i="1"/>
  <c r="O121" i="1" a="1"/>
  <c r="N121" i="1"/>
  <c r="M121" i="1"/>
  <c r="O120" i="1" a="1"/>
  <c r="O120" i="1" s="1"/>
  <c r="N120" i="1"/>
  <c r="M120" i="1"/>
  <c r="O119" i="1" a="1"/>
  <c r="O119" i="1" s="1"/>
  <c r="N119" i="1"/>
  <c r="M119" i="1"/>
  <c r="O118" i="1"/>
  <c r="O118" i="1" a="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c r="O107" i="1" a="1"/>
  <c r="N107" i="1"/>
  <c r="M107" i="1"/>
  <c r="O106" i="1"/>
  <c r="O106" i="1" a="1"/>
  <c r="N106" i="1"/>
  <c r="M106" i="1"/>
  <c r="O105" i="1" a="1"/>
  <c r="O105" i="1" s="1"/>
  <c r="N105" i="1"/>
  <c r="M105" i="1"/>
  <c r="O104" i="1" a="1"/>
  <c r="O104" i="1" s="1"/>
  <c r="N104" i="1"/>
  <c r="M104" i="1"/>
  <c r="O103" i="1"/>
  <c r="O103" i="1" a="1"/>
  <c r="N103" i="1"/>
  <c r="M103" i="1"/>
  <c r="O102" i="1" a="1"/>
  <c r="O102" i="1" s="1"/>
  <c r="N102" i="1"/>
  <c r="M102" i="1"/>
  <c r="O101" i="1" a="1"/>
  <c r="O101" i="1" s="1"/>
  <c r="N101" i="1"/>
  <c r="M101" i="1"/>
  <c r="O100" i="1" a="1"/>
  <c r="O100" i="1" s="1"/>
  <c r="N100" i="1"/>
  <c r="M100" i="1"/>
  <c r="O99" i="1" a="1"/>
  <c r="O99" i="1" s="1"/>
  <c r="N99" i="1"/>
  <c r="M99" i="1"/>
  <c r="O98" i="1" a="1"/>
  <c r="O98" i="1" s="1"/>
  <c r="N98" i="1"/>
  <c r="M98" i="1"/>
  <c r="O97" i="1"/>
  <c r="O97" i="1" a="1"/>
  <c r="N97" i="1"/>
  <c r="M97" i="1"/>
  <c r="O96" i="1" a="1"/>
  <c r="O96" i="1" s="1"/>
  <c r="N96" i="1"/>
  <c r="M96" i="1"/>
  <c r="O95" i="1" a="1"/>
  <c r="O95" i="1" s="1"/>
  <c r="N95" i="1"/>
  <c r="M95" i="1"/>
  <c r="O94" i="1"/>
  <c r="O94" i="1" a="1"/>
  <c r="N94" i="1"/>
  <c r="M94" i="1"/>
  <c r="O93" i="1" a="1"/>
  <c r="O93" i="1" s="1"/>
  <c r="N93" i="1"/>
  <c r="M93" i="1"/>
  <c r="O92" i="1"/>
  <c r="O92" i="1" a="1"/>
  <c r="N92" i="1"/>
  <c r="M92" i="1"/>
  <c r="O91" i="1" a="1"/>
  <c r="O91" i="1" s="1"/>
  <c r="N91" i="1"/>
  <c r="M91" i="1"/>
  <c r="O90" i="1" a="1"/>
  <c r="O90" i="1" s="1"/>
  <c r="N90" i="1"/>
  <c r="M90" i="1"/>
  <c r="O89" i="1" a="1"/>
  <c r="O89" i="1" s="1"/>
  <c r="N89" i="1"/>
  <c r="M89" i="1"/>
  <c r="O88" i="1" a="1"/>
  <c r="O88" i="1" s="1"/>
  <c r="N88" i="1"/>
  <c r="M88" i="1"/>
  <c r="O87" i="1"/>
  <c r="O87" i="1" a="1"/>
  <c r="N87" i="1"/>
  <c r="M87" i="1"/>
  <c r="O86" i="1" a="1"/>
  <c r="O86" i="1" s="1"/>
  <c r="N86" i="1"/>
  <c r="M86" i="1"/>
  <c r="O85" i="1" a="1"/>
  <c r="O85" i="1" s="1"/>
  <c r="N85" i="1"/>
  <c r="M85" i="1"/>
  <c r="O84" i="1" a="1"/>
  <c r="O84" i="1" s="1"/>
  <c r="N84" i="1"/>
  <c r="M84" i="1"/>
  <c r="O83" i="1" a="1"/>
  <c r="O83" i="1" s="1"/>
  <c r="N83" i="1"/>
  <c r="M83" i="1"/>
  <c r="O82" i="1"/>
  <c r="O82" i="1" a="1"/>
  <c r="N82" i="1"/>
  <c r="M82" i="1"/>
  <c r="O81" i="1" a="1"/>
  <c r="O81" i="1" s="1"/>
  <c r="N81" i="1"/>
  <c r="M81" i="1"/>
  <c r="O80" i="1" a="1"/>
  <c r="O80" i="1" s="1"/>
  <c r="N80" i="1"/>
  <c r="M80" i="1"/>
  <c r="O79" i="1"/>
  <c r="O79" i="1" a="1"/>
  <c r="N79" i="1"/>
  <c r="M79" i="1"/>
  <c r="O78" i="1" a="1"/>
  <c r="O78" i="1" s="1"/>
  <c r="N78" i="1"/>
  <c r="M78" i="1"/>
  <c r="O77" i="1" a="1"/>
  <c r="O77" i="1" s="1"/>
  <c r="N77" i="1"/>
  <c r="M77" i="1"/>
  <c r="O76" i="1"/>
  <c r="O76" i="1" a="1"/>
  <c r="N76" i="1"/>
  <c r="M76" i="1"/>
  <c r="O75" i="1" a="1"/>
  <c r="O75" i="1" s="1"/>
  <c r="N75" i="1"/>
  <c r="M75" i="1"/>
  <c r="O74" i="1" a="1"/>
  <c r="O74" i="1" s="1"/>
  <c r="N74" i="1"/>
  <c r="M74" i="1"/>
  <c r="O73" i="1" a="1"/>
  <c r="O73" i="1" s="1"/>
  <c r="N73" i="1"/>
  <c r="M73" i="1"/>
  <c r="O72" i="1"/>
  <c r="O72" i="1" a="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c r="O64" i="1" a="1"/>
  <c r="N64" i="1"/>
  <c r="M64" i="1"/>
  <c r="O63" i="1" a="1"/>
  <c r="O63" i="1" s="1"/>
  <c r="N63" i="1"/>
  <c r="M63" i="1"/>
  <c r="O62" i="1" a="1"/>
  <c r="O62" i="1" s="1"/>
  <c r="N62" i="1"/>
  <c r="M62" i="1"/>
  <c r="O61" i="1"/>
  <c r="O61" i="1" a="1"/>
  <c r="N61" i="1"/>
  <c r="M61" i="1"/>
  <c r="O60" i="1" a="1"/>
  <c r="O60" i="1" s="1"/>
  <c r="N60" i="1"/>
  <c r="M60" i="1"/>
  <c r="O59" i="1"/>
  <c r="O59" i="1" a="1"/>
  <c r="N59" i="1"/>
  <c r="M59" i="1"/>
  <c r="O58" i="1" a="1"/>
  <c r="O58" i="1" s="1"/>
  <c r="N58" i="1"/>
  <c r="M58" i="1"/>
  <c r="O57" i="1"/>
  <c r="O57" i="1" a="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c r="O44" i="1" a="1"/>
  <c r="N44" i="1"/>
  <c r="M44" i="1"/>
  <c r="O43" i="1" a="1"/>
  <c r="O43" i="1" s="1"/>
  <c r="N43" i="1"/>
  <c r="M43" i="1"/>
  <c r="O42" i="1" a="1"/>
  <c r="O42" i="1" s="1"/>
  <c r="N42" i="1"/>
  <c r="M42" i="1"/>
  <c r="O41" i="1"/>
  <c r="O41" i="1" a="1"/>
  <c r="N41" i="1"/>
  <c r="M41" i="1"/>
  <c r="O40" i="1" a="1"/>
  <c r="O40" i="1" s="1"/>
  <c r="N40" i="1"/>
  <c r="M40" i="1"/>
  <c r="O39" i="1" a="1"/>
  <c r="O39" i="1" s="1"/>
  <c r="N39" i="1"/>
  <c r="M39" i="1"/>
  <c r="O38" i="1"/>
  <c r="O38" i="1" a="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c r="O29" i="1" a="1"/>
  <c r="N29" i="1"/>
  <c r="M29" i="1"/>
  <c r="O28" i="1" a="1"/>
  <c r="O28" i="1" s="1"/>
  <c r="N28" i="1"/>
  <c r="M28" i="1"/>
  <c r="O27" i="1" a="1"/>
  <c r="O27" i="1" s="1"/>
  <c r="N27" i="1"/>
  <c r="M27" i="1"/>
  <c r="O26" i="1" a="1"/>
  <c r="O26" i="1" s="1"/>
  <c r="N26" i="1"/>
  <c r="M26" i="1"/>
  <c r="O25" i="1" a="1"/>
  <c r="O25" i="1" s="1"/>
  <c r="N25" i="1"/>
  <c r="M25" i="1"/>
  <c r="O24" i="1"/>
  <c r="O24" i="1" a="1"/>
  <c r="N24" i="1"/>
  <c r="M24" i="1"/>
  <c r="O23" i="1"/>
  <c r="O23" i="1" a="1"/>
  <c r="N23" i="1"/>
  <c r="M23" i="1"/>
  <c r="O22" i="1" a="1"/>
  <c r="O22" i="1" s="1"/>
  <c r="N22" i="1"/>
  <c r="M22" i="1"/>
  <c r="O21" i="1" a="1"/>
  <c r="O21" i="1" s="1"/>
  <c r="N21" i="1"/>
  <c r="M21" i="1"/>
  <c r="O20" i="1"/>
  <c r="O20" i="1" a="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c r="O9" i="1" a="1"/>
  <c r="N9" i="1"/>
  <c r="M9" i="1"/>
  <c r="O8" i="1"/>
  <c r="O8" i="1" a="1"/>
  <c r="N8" i="1"/>
  <c r="M8" i="1"/>
  <c r="O7" i="1" a="1"/>
  <c r="O7" i="1" s="1"/>
  <c r="N7" i="1"/>
  <c r="M7" i="1"/>
  <c r="O6" i="1" a="1"/>
  <c r="O6" i="1" s="1"/>
  <c r="N6" i="1"/>
  <c r="M6" i="1"/>
  <c r="O5" i="1"/>
  <c r="O5" i="1" a="1"/>
  <c r="N5" i="1"/>
  <c r="M5" i="1"/>
  <c r="O4" i="1" a="1"/>
  <c r="O4" i="1" s="1"/>
  <c r="N4" i="1"/>
  <c r="M4" i="1"/>
  <c r="O3" i="1" a="1"/>
  <c r="O3" i="1" s="1"/>
  <c r="N3" i="1"/>
  <c r="M3" i="1"/>
  <c r="O2" i="1" a="1"/>
  <c r="O2" i="1" s="1"/>
  <c r="M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<sst xmlns="http://schemas.openxmlformats.org/spreadsheetml/2006/main" count="14968" uniqueCount="2576">
  <si>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</si>
  <si>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</si>
  <si>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</si>
  <si>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</si>
  <si>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</si>
  <si>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</si>
  <si>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</si>
  <si>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</si>
  <si>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</si>
  <si>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</si>
  <si>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</si>
  <si>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</si>
  <si>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</si>
  <si>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</si>
  <si>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</si>
  <si>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</si>
  <si>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</si>
  <si>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</si>
  <si>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</si>
  <si>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</si>
  <si>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</si>
  <si>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</si>
  <si>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</si>
  <si>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</si>
  <si>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</si>
  <si>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</si>
  <si>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</si>
  <si>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</si>
  <si>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</si>
  <si>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</si>
  <si>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</si>
  <si>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</si>
  <si>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</si>
  <si>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</si>
  <si>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</si>
  <si>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</si>
  <si>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</si>
  <si>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</si>
  <si>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</si>
  <si>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</si>
  <si>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</si>
  <si>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</si>
  <si>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</si>
  <si>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</si>
  <si>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</si>
  <si>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</si>
  <si>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</si>
  <si>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</si>
  <si>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</si>
  <si>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</si>
  <si>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</si>
  <si>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</si>
  <si>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</si>
  <si>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</si>
  <si>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</si>
  <si>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</si>
  <si>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</si>
  <si>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</si>
  <si>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</si>
  <si>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</si>
  <si>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</si>
  <si>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</si>
  <si>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</si>
  <si>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</si>
  <si>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</si>
  <si>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</si>
  <si>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</si>
  <si>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</si>
  <si>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</si>
  <si>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</si>
  <si>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</si>
  <si>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</si>
  <si>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</si>
  <si>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</si>
  <si>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</si>
  <si>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</si>
  <si>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</si>
  <si>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</si>
  <si>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</si>
  <si>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</si>
  <si>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</si>
  <si>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</si>
  <si>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</si>
  <si>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</si>
  <si>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</si>
  <si>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</si>
  <si>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</si>
  <si>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</si>
  <si>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</si>
  <si>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</si>
  <si>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</si>
  <si>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</si>
  <si>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</si>
  <si>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</si>
  <si>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</si>
  <si>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</si>
  <si>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</si>
  <si>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</si>
  <si>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</si>
  <si>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</si>
  <si>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</si>
  <si>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</si>
  <si>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</si>
  <si>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</si>
  <si>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</si>
  <si>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</si>
  <si>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</si>
  <si>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</si>
  <si>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</si>
  <si>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</si>
  <si>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</si>
  <si>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</si>
  <si>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</si>
  <si>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</si>
  <si>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</si>
  <si>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</si>
  <si>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</si>
  <si>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</si>
  <si>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</si>
  <si>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</si>
  <si>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</si>
  <si>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</si>
  <si>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</si>
  <si>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</si>
  <si>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</si>
  <si>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</si>
  <si>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</si>
  <si>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</si>
  <si>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</si>
  <si>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</si>
  <si>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</si>
  <si>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</si>
  <si>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</si>
  <si>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</si>
  <si>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</si>
  <si>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</si>
  <si>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</si>
  <si>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</si>
  <si>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</si>
  <si>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</si>
  <si>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</si>
  <si>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</si>
  <si>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</si>
  <si>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</si>
  <si>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</si>
  <si>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</si>
  <si>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</si>
  <si>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</si>
  <si>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</si>
  <si>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</si>
  <si>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</si>
  <si>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</si>
  <si>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</si>
  <si>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</si>
  <si>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</si>
  <si>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</si>
  <si>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</si>
  <si>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</si>
  <si>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</si>
  <si>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</si>
  <si>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</si>
  <si>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</si>
  <si>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</si>
  <si>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</si>
  <si>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</si>
  <si>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</si>
  <si>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</si>
  <si>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</si>
  <si>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</si>
  <si>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</si>
  <si>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</si>
  <si>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</si>
  <si>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</si>
  <si>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</si>
  <si>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</si>
  <si>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</si>
  <si>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</si>
  <si>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</si>
  <si>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</si>
  <si>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</si>
  <si>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</si>
  <si>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</si>
  <si>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</si>
  <si>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</si>
  <si>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</si>
  <si>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</si>
  <si>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</si>
  <si>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</si>
  <si>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</si>
  <si>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</si>
  <si>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</si>
  <si>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</si>
  <si>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</si>
  <si>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</si>
  <si>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</si>
  <si>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</si>
  <si>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</si>
  <si>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</si>
  <si>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</si>
  <si>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</si>
  <si>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</si>
  <si>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</si>
  <si>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</si>
  <si>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</si>
  <si>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</si>
  <si>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</si>
  <si>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</si>
  <si>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</si>
  <si>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</si>
  <si>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</si>
  <si>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</si>
  <si>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</si>
  <si>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</si>
  <si>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</si>
  <si>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</si>
  <si>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</si>
  <si>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</si>
  <si>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</si>
  <si>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</si>
  <si>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</si>
  <si>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</si>
  <si>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</si>
  <si>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</si>
  <si>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</si>
  <si>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</si>
  <si>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</si>
  <si>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</si>
  <si>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</si>
  <si>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</si>
  <si>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</si>
  <si>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</si>
  <si>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</si>
  <si>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</si>
  <si>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</si>
  <si>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</si>
  <si>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</si>
  <si>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</si>
  <si>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</si>
  <si>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</si>
  <si>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</si>
  <si>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</si>
  <si>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</si>
  <si>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</si>
  <si>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</si>
  <si>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</si>
  <si>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</si>
  <si>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</si>
  <si>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</si>
  <si>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</si>
  <si>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</si>
  <si>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</si>
  <si>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</si>
  <si>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</si>
  <si>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</si>
  <si>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</si>
  <si>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</si>
  <si>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</si>
  <si>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</si>
  <si>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</si>
  <si>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</si>
  <si>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</si>
  <si>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</si>
  <si>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</si>
  <si>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</si>
  <si>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</si>
  <si>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</si>
  <si>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</si>
  <si>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</si>
  <si>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</si>
  <si>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</si>
  <si>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</si>
  <si>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</si>
  <si>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</si>
  <si>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</si>
  <si>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</si>
  <si>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</si>
  <si>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</si>
  <si>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</si>
  <si>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</si>
  <si>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</si>
  <si>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</si>
  <si>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</si>
  <si>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</si>
  <si>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</si>
  <si>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</si>
  <si>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</si>
  <si>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</si>
  <si>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</si>
  <si>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</si>
  <si>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</si>
  <si>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</si>
  <si>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</si>
  <si>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</si>
  <si>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</si>
  <si>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</si>
  <si>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</si>
  <si>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</si>
  <si>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</si>
  <si>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</si>
  <si>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</si>
  <si>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</si>
  <si>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</si>
  <si>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</si>
  <si>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</si>
  <si>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</si>
  <si>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</si>
  <si>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</si>
  <si>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</si>
  <si>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</si>
  <si>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</si>
  <si>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</si>
  <si>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</si>
  <si>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</si>
  <si>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</si>
  <si>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</si>
  <si>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</si>
  <si>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</si>
  <si>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</si>
  <si>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</si>
  <si>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</si>
  <si>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</si>
  <si>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</si>
  <si>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</si>
  <si>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</si>
  <si>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</si>
  <si>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</si>
  <si>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</si>
  <si>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</si>
  <si>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</si>
  <si>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</si>
  <si>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</si>
  <si>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</si>
  <si>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</si>
  <si>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</si>
  <si>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</si>
  <si>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</si>
  <si>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</si>
  <si>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</si>
  <si>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</si>
  <si>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</si>
  <si>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</si>
  <si>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</si>
  <si>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</si>
  <si>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</si>
  <si>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</si>
  <si>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</si>
  <si>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</si>
  <si>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</si>
  <si>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</si>
  <si>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</si>
  <si>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</si>
  <si>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</si>
  <si>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</si>
  <si>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</si>
  <si>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</si>
  <si>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</si>
  <si>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</si>
  <si>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</si>
  <si>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</si>
  <si>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</si>
  <si>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</si>
  <si>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</si>
  <si>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</si>
  <si>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</si>
  <si>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</si>
  <si>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</si>
  <si>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</si>
  <si>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</si>
  <si>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</si>
  <si>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</si>
  <si>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</si>
  <si>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</si>
  <si>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</si>
  <si>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</si>
  <si>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</si>
  <si>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</si>
  <si>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</si>
  <si>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</si>
  <si>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</si>
  <si>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</si>
  <si>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</si>
  <si>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</si>
  <si>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</si>
  <si>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</si>
  <si>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</si>
  <si>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</si>
  <si>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</si>
  <si>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</si>
  <si>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</si>
  <si>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</si>
  <si>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</si>
  <si>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</si>
  <si>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</si>
  <si>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</si>
  <si>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</si>
  <si>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</si>
  <si>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</si>
  <si>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</si>
  <si>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</si>
  <si>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</si>
  <si>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</si>
  <si>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</si>
  <si>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</si>
  <si>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</si>
  <si>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</si>
  <si>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</si>
  <si>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</si>
  <si>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</si>
  <si>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</si>
  <si>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</si>
  <si>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</si>
  <si>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</si>
  <si>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</si>
  <si>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</si>
  <si>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</si>
  <si>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</si>
  <si>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</si>
  <si>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</si>
  <si>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</si>
  <si>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</si>
  <si>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</si>
  <si>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</si>
  <si>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</si>
  <si>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</si>
  <si>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</si>
  <si>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</si>
  <si>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</si>
  <si>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</si>
  <si>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</si>
  <si>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</si>
  <si>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</si>
  <si>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</si>
  <si>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</si>
  <si>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</si>
  <si>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</si>
  <si>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</si>
  <si>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</si>
  <si>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</si>
  <si>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</si>
  <si>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</si>
  <si>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</si>
  <si>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</si>
  <si>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</si>
  <si>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</si>
  <si>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</si>
  <si>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</si>
  <si>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</si>
  <si>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</si>
  <si>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</si>
  <si>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</si>
  <si>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</si>
  <si>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</si>
  <si>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</si>
  <si>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</si>
  <si>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</si>
  <si>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</si>
  <si>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</si>
  <si>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</si>
  <si>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</si>
  <si>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</si>
  <si>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</si>
  <si>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</si>
  <si>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</si>
  <si>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</si>
  <si>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</si>
  <si>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</si>
  <si>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</si>
  <si>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</si>
  <si>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</si>
  <si>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</si>
  <si>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</si>
  <si>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</si>
  <si>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</si>
  <si>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</si>
  <si>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</si>
  <si>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</si>
  <si>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</si>
  <si>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</si>
  <si>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</si>
  <si>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</si>
  <si>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</si>
  <si>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</si>
  <si>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</si>
  <si>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</si>
  <si>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</si>
  <si>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</si>
  <si>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</si>
  <si>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</si>
  <si>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</si>
  <si>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</si>
  <si>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</si>
  <si>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</si>
  <si>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</si>
  <si>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</si>
  <si>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</si>
  <si>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</si>
  <si>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</si>
  <si>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</si>
  <si>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</si>
  <si>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</si>
  <si>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</si>
  <si>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</si>
  <si>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</si>
  <si>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</si>
  <si>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</si>
  <si>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</si>
  <si>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</si>
  <si>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</si>
  <si>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</si>
  <si>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</si>
  <si>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</si>
  <si>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</si>
  <si>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</si>
  <si>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</si>
  <si>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</si>
  <si>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</si>
  <si>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</si>
  <si>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</si>
  <si>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</si>
  <si>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</si>
  <si>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</si>
  <si>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</si>
  <si>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</si>
  <si>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</si>
  <si>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</si>
  <si>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</si>
  <si>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</si>
  <si>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</si>
  <si>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</si>
  <si>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</si>
  <si>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</si>
  <si>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</si>
  <si>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</si>
  <si>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</si>
  <si>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</si>
  <si>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</si>
  <si>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</si>
  <si>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</si>
  <si>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</si>
  <si>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</si>
  <si>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</si>
  <si>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</si>
  <si>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</si>
  <si>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</si>
  <si>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</si>
  <si>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</si>
  <si>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</si>
  <si>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</si>
  <si>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</si>
  <si>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</si>
  <si>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</si>
  <si>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</si>
  <si>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</si>
  <si>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</si>
  <si>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</si>
  <si>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</si>
  <si>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</si>
  <si>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</si>
  <si>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</si>
  <si>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</si>
  <si>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</si>
  <si>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</si>
  <si>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</si>
  <si>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</si>
  <si>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</si>
  <si>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</si>
  <si>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</si>
  <si>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</si>
  <si>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</si>
  <si>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</si>
  <si>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</si>
  <si>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</si>
  <si>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</si>
  <si>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</si>
  <si>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</si>
  <si>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</si>
  <si>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</si>
  <si>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</si>
  <si>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</si>
  <si>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</si>
  <si>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</si>
  <si>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</si>
  <si>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</si>
  <si>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</si>
  <si>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</si>
  <si>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</si>
  <si>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</si>
  <si>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</si>
  <si>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</si>
  <si>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</si>
  <si>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</si>
  <si>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</si>
  <si>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</si>
  <si>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</si>
  <si>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</si>
  <si>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</si>
  <si>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</si>
  <si>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</si>
  <si>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</si>
  <si>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</si>
  <si>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</si>
  <si>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</si>
  <si>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</si>
  <si>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</si>
  <si>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</si>
  <si>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</si>
  <si>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</si>
  <si>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</si>
  <si>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</si>
  <si>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</si>
  <si>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</si>
  <si>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</si>
  <si>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</si>
  <si>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</si>
  <si>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</si>
  <si>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</si>
  <si>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</si>
  <si>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</si>
  <si>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</si>
  <si>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</si>
  <si>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</si>
  <si>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</si>
  <si>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</si>
  <si>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</si>
  <si>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</si>
  <si>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</si>
  <si>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</si>
  <si>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</si>
  <si>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</si>
  <si>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</si>
  <si>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</si>
  <si>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</si>
  <si>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</si>
  <si>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</si>
  <si>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</si>
  <si>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</si>
  <si>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</si>
  <si>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</si>
  <si>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</si>
  <si>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</si>
  <si>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</si>
  <si>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</si>
  <si>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</si>
  <si>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</si>
  <si>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</si>
  <si>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</si>
  <si>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</si>
  <si>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</si>
  <si>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</si>
  <si>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</si>
  <si>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</si>
  <si>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</si>
  <si>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</si>
  <si>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</si>
  <si>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</si>
  <si>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</si>
  <si>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</si>
  <si>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</si>
  <si>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</si>
  <si>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</si>
  <si>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</si>
  <si>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</si>
  <si>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</si>
  <si>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</si>
  <si>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</si>
  <si>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</si>
  <si>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</si>
  <si>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</si>
  <si>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</si>
  <si>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</si>
  <si>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</si>
  <si>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</si>
  <si>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</si>
  <si>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</si>
  <si>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</si>
  <si>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</si>
  <si>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</si>
  <si>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</si>
  <si>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</si>
  <si>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</si>
  <si>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</si>
  <si>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</si>
  <si>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</si>
  <si>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</si>
  <si>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</si>
  <si>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</si>
  <si>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</si>
  <si>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</si>
  <si>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</si>
  <si>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</si>
  <si>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</si>
  <si>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</si>
  <si>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</si>
  <si>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</si>
  <si>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</si>
  <si>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</si>
  <si>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</si>
  <si>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</si>
  <si>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</si>
  <si>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</si>
  <si>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</si>
  <si>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</si>
  <si>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</si>
  <si>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</si>
  <si>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</si>
  <si>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</si>
  <si>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</si>
  <si>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</si>
  <si>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</si>
  <si>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</si>
  <si>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</si>
  <si>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</si>
  <si>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</si>
  <si>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</si>
  <si>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</si>
  <si>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</si>
  <si>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</si>
  <si>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</si>
  <si>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</si>
  <si>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</si>
  <si>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</si>
  <si>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</si>
  <si>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</si>
  <si>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</si>
  <si>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</si>
  <si>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</si>
  <si>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</si>
  <si>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</si>
  <si>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</si>
  <si>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</si>
  <si>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</si>
  <si>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</si>
  <si>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</si>
  <si>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</si>
  <si>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</si>
  <si>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</si>
  <si>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</si>
  <si>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</si>
  <si>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</si>
  <si>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</si>
  <si>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</si>
  <si>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</si>
  <si>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</si>
  <si>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</si>
  <si>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</si>
  <si>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</si>
  <si>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</si>
  <si>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</si>
  <si>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</si>
  <si>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</si>
  <si>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</si>
  <si>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</si>
  <si>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</si>
  <si>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</si>
  <si>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</si>
  <si>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</si>
  <si>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</si>
  <si>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</si>
  <si>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</si>
  <si>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</si>
  <si>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</si>
  <si>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</si>
  <si>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</si>
  <si>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</si>
  <si>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</si>
  <si>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</si>
  <si>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</si>
  <si>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</si>
  <si>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</si>
  <si>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</si>
  <si>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</si>
  <si>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</si>
  <si>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</si>
  <si>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</si>
  <si>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</si>
  <si>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</si>
  <si>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</si>
  <si>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</si>
  <si>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</si>
  <si>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</si>
  <si>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</si>
  <si>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</si>
  <si>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</si>
  <si>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</si>
  <si>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</si>
  <si>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</si>
  <si>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</si>
  <si>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</si>
  <si>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</si>
  <si>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</si>
  <si>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</si>
  <si>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</si>
  <si>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</si>
  <si>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</si>
  <si>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</si>
  <si>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</si>
  <si>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</si>
  <si>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</si>
  <si>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</si>
  <si>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</si>
  <si>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</si>
  <si>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</si>
  <si>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</si>
  <si>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</si>
  <si>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</si>
  <si>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</si>
  <si>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</si>
  <si>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</si>
  <si>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</si>
  <si>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</si>
  <si>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</si>
  <si>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</si>
  <si>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</si>
  <si>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</si>
  <si>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</si>
  <si>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</si>
  <si>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</si>
  <si>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</si>
  <si>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</si>
  <si>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</si>
  <si>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</si>
  <si>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</si>
  <si>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</si>
  <si>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</si>
  <si>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</si>
  <si>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</si>
  <si>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</si>
  <si>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</si>
  <si>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</si>
  <si>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</si>
  <si>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</si>
  <si>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</si>
  <si>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</si>
  <si>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</si>
  <si>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</si>
  <si>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</si>
  <si>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</si>
  <si>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</si>
  <si>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</si>
  <si>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</si>
  <si>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</si>
  <si>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</si>
  <si>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</si>
  <si>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</si>
  <si>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</si>
  <si>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</si>
  <si>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</si>
  <si>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</si>
  <si>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</si>
  <si>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</si>
  <si>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</si>
  <si>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</si>
  <si>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</si>
  <si>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</si>
  <si>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</si>
  <si>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</si>
  <si>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</si>
  <si>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</si>
  <si>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</si>
  <si>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</si>
  <si>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</si>
  <si>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</si>
  <si>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</si>
  <si>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</si>
  <si>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</si>
  <si>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</si>
  <si>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</si>
  <si>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</si>
  <si>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</si>
  <si>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</si>
  <si>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</si>
  <si>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</si>
  <si>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</si>
  <si>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</si>
  <si>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</si>
  <si>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</si>
  <si>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</si>
  <si>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</si>
  <si>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</si>
  <si>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</si>
  <si>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</si>
  <si>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</si>
  <si>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</si>
  <si>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</si>
  <si>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</si>
  <si>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</si>
  <si>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</si>
  <si>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</si>
  <si>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</si>
  <si>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</si>
  <si>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</si>
  <si>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</si>
  <si>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</si>
  <si>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</si>
  <si>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</si>
  <si>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</si>
  <si>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</si>
  <si>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</si>
  <si>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</si>
  <si>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</si>
  <si>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</si>
  <si>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</si>
  <si>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</si>
  <si>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</si>
  <si>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</si>
  <si>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</si>
  <si>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</si>
  <si>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</si>
  <si>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</si>
  <si>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</si>
  <si>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</si>
  <si>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</si>
  <si>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</si>
  <si>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</si>
  <si>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</si>
  <si>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</si>
  <si>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</si>
  <si>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</si>
  <si>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</si>
  <si>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</si>
  <si>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</si>
  <si>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</si>
  <si>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</si>
  <si>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</si>
  <si>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</si>
  <si>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</si>
  <si>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</si>
  <si>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</si>
  <si>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</si>
  <si>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</si>
  <si>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</si>
  <si>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</si>
  <si>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</si>
  <si>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</si>
  <si>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</si>
  <si>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</si>
  <si>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</si>
  <si>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</si>
  <si>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</si>
  <si>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</si>
  <si>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</si>
  <si>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</si>
  <si>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</si>
  <si>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</si>
  <si>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</si>
  <si>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</si>
  <si>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</si>
  <si>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</si>
  <si>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</si>
  <si>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</si>
  <si>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</si>
  <si>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</si>
  <si>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</si>
  <si>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</si>
  <si>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</si>
  <si>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</si>
  <si>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</si>
  <si>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</si>
  <si>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</si>
  <si>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</si>
  <si>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</si>
  <si>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</si>
  <si>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</si>
  <si>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</si>
  <si>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</si>
  <si>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</si>
  <si>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</si>
  <si>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</si>
  <si>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</si>
  <si>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</si>
  <si>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</si>
  <si>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</si>
  <si>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</si>
  <si>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</si>
  <si>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</si>
  <si>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</si>
  <si>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</si>
  <si>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</si>
  <si>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</si>
  <si>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</si>
  <si>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</si>
  <si>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</si>
  <si>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</si>
  <si>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</si>
  <si>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</si>
  <si>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</si>
  <si>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</si>
  <si>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</si>
  <si>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</si>
  <si>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</si>
  <si>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</si>
  <si>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</si>
  <si>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</si>
  <si>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</si>
  <si>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</si>
  <si>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</si>
  <si>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</si>
  <si>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</si>
  <si>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</si>
  <si>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</si>
  <si>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</si>
  <si>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</si>
  <si>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</si>
  <si>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</si>
  <si>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</si>
  <si>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</si>
  <si>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</si>
  <si>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</si>
  <si>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</si>
  <si>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</si>
  <si>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</si>
  <si>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</si>
  <si>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</si>
  <si>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</si>
  <si>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</si>
  <si>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</si>
  <si>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</si>
  <si>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</si>
  <si>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</si>
  <si>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</si>
  <si>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</si>
  <si>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</si>
  <si>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</si>
  <si>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</si>
  <si>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</si>
  <si>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</si>
  <si>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</si>
  <si>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</si>
  <si>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</si>
  <si>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</si>
  <si>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</si>
  <si>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</si>
  <si>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</si>
  <si>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</si>
  <si>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</si>
  <si>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</si>
  <si>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</si>
  <si>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</si>
  <si>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</si>
  <si>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</si>
  <si>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</si>
  <si>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</si>
  <si>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</si>
  <si>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</si>
  <si>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</si>
  <si>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</si>
  <si>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</si>
  <si>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</si>
  <si>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</si>
  <si>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</si>
  <si>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</si>
  <si>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</si>
  <si>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</si>
  <si>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</si>
  <si>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</si>
  <si>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</si>
  <si>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</si>
  <si>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</si>
  <si>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</si>
  <si>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</si>
  <si>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</si>
  <si>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</si>
  <si>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</si>
  <si>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</si>
  <si>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</si>
  <si>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</si>
  <si>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</si>
  <si>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</si>
  <si>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</si>
  <si>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</si>
  <si>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</si>
  <si>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</si>
  <si>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</si>
  <si>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</si>
  <si>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</si>
  <si>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</si>
  <si>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</si>
  <si>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</si>
  <si>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</si>
  <si>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</si>
  <si>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</si>
  <si>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</si>
  <si>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</si>
  <si>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</si>
  <si>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</si>
  <si>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</si>
  <si>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</si>
  <si>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</si>
  <si>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</si>
  <si>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</si>
  <si>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</si>
  <si>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</si>
  <si>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</si>
  <si>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</si>
  <si>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</si>
  <si>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</si>
  <si>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</si>
  <si>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</si>
  <si>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</si>
  <si>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</si>
  <si>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</si>
  <si>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</si>
  <si>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</si>
  <si>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</si>
  <si>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</si>
  <si>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</si>
  <si>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</si>
  <si>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</si>
  <si>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</si>
  <si>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</si>
  <si>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</si>
  <si>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</si>
  <si>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</si>
  <si>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</si>
  <si>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</si>
  <si>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</si>
  <si>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</si>
  <si>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</si>
  <si>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</si>
  <si>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</si>
  <si>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</si>
  <si>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</si>
  <si>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</si>
  <si>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</si>
  <si>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</si>
  <si>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</si>
  <si>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</si>
  <si>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</si>
  <si>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</si>
  <si>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</si>
  <si>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</si>
  <si>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</si>
  <si>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</si>
  <si>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</si>
  <si>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</si>
  <si>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</si>
  <si>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</si>
  <si>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</si>
  <si>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</si>
  <si>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</si>
  <si>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</si>
  <si>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</si>
  <si>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</si>
  <si>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</si>
  <si>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</si>
  <si>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</si>
  <si>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</si>
  <si>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</si>
  <si>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</si>
  <si>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</si>
  <si>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</si>
  <si>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</si>
  <si>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</si>
  <si>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</si>
  <si>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</si>
  <si>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</si>
  <si>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</si>
  <si>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</si>
  <si>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</si>
  <si>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</si>
  <si>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</si>
  <si>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</si>
  <si>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</si>
  <si>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</si>
  <si>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</si>
  <si>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</si>
  <si>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</si>
  <si>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</si>
  <si>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</si>
  <si>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</si>
  <si>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</si>
  <si>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</si>
  <si>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</si>
  <si>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</si>
  <si>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</si>
  <si>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</si>
  <si>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</si>
  <si>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</si>
  <si>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</si>
  <si>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</si>
  <si>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</si>
  <si>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</si>
  <si>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</si>
  <si>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</si>
  <si>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</si>
  <si>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</si>
  <si>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</si>
  <si>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</si>
  <si>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</si>
  <si>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</si>
  <si>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</si>
  <si>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</si>
  <si>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</si>
  <si>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</si>
  <si>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</si>
  <si>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</si>
  <si>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</si>
  <si>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</si>
  <si>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</si>
  <si>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</si>
  <si>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</si>
  <si>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</si>
  <si>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</si>
  <si>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</si>
  <si>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</si>
  <si>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</si>
  <si>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</si>
  <si>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</si>
  <si>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</si>
  <si>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</si>
  <si>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</si>
  <si>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</si>
  <si>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</si>
  <si>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</si>
  <si>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</si>
  <si>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</si>
  <si>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</si>
  <si>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</si>
  <si>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</si>
  <si>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</si>
  <si>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</si>
  <si>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</si>
  <si>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</si>
  <si>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</si>
  <si>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</si>
  <si>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</si>
  <si>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</si>
  <si>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</si>
  <si>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</si>
  <si>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</si>
  <si>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</si>
  <si>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</si>
  <si>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</si>
  <si>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</si>
  <si>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</si>
  <si>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</si>
  <si>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</si>
  <si>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</si>
  <si>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</si>
  <si>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</si>
  <si>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</si>
  <si>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</si>
  <si>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</si>
  <si>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</si>
  <si>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</si>
  <si>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</si>
  <si>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</si>
  <si>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</si>
  <si>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</si>
  <si>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</si>
  <si>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</si>
  <si>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</si>
  <si>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</si>
  <si>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</si>
  <si>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</si>
  <si>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</si>
  <si>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</si>
  <si>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</si>
  <si>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</si>
  <si>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</si>
  <si>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</si>
  <si>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</si>
  <si>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</si>
  <si>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</si>
  <si>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</si>
  <si>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</si>
  <si>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</si>
  <si>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</si>
  <si>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</si>
  <si>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</si>
  <si>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</si>
  <si>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</si>
  <si>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</si>
  <si>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</si>
  <si>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</si>
  <si>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</si>
  <si>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</si>
  <si>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</si>
  <si>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</si>
  <si>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</si>
  <si>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</si>
  <si>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</si>
  <si>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</si>
  <si>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</si>
  <si>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</si>
  <si>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</si>
  <si>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</si>
  <si>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</si>
  <si>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</si>
  <si>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</si>
  <si>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</si>
  <si>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</si>
  <si>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</si>
  <si>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</si>
  <si>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</si>
  <si>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</si>
  <si>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</si>
  <si>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</si>
  <si>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</si>
  <si>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</si>
  <si>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</si>
  <si>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</si>
  <si>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</si>
  <si>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</si>
  <si>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</si>
  <si>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</si>
  <si>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</si>
  <si>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</si>
  <si>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</si>
  <si>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</si>
  <si>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</si>
  <si>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</si>
  <si>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</si>
  <si>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</si>
  <si>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</si>
  <si>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</si>
  <si>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</si>
  <si>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</si>
  <si>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</si>
  <si>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</si>
  <si>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</si>
  <si>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</si>
  <si>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</si>
  <si>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</si>
  <si>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</si>
  <si>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</si>
  <si>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</si>
  <si>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</si>
  <si>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</si>
  <si>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</si>
  <si>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</si>
  <si>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</si>
  <si>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</si>
  <si>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</si>
  <si>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</si>
  <si>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</si>
  <si>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</si>
  <si>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</si>
  <si>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</si>
  <si>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</si>
  <si>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</si>
  <si>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</si>
  <si>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</si>
  <si>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</si>
  <si>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</si>
  <si>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</si>
  <si>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</si>
  <si>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</si>
  <si>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</si>
  <si>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</si>
  <si>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</si>
  <si>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</si>
  <si>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</si>
  <si>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</si>
  <si>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</si>
  <si>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</si>
  <si>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</si>
  <si>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</si>
  <si>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</si>
  <si>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</si>
  <si>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</si>
  <si>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</si>
  <si>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</si>
  <si>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</si>
  <si>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</si>
  <si>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</si>
  <si>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</si>
  <si>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</si>
  <si>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</si>
  <si>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</si>
  <si>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</si>
  <si>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</si>
  <si>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</si>
  <si>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</si>
  <si>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</si>
  <si>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</si>
  <si>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</si>
  <si>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</si>
  <si>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</si>
  <si>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</si>
  <si>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</si>
  <si>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</si>
  <si>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</si>
  <si>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</si>
  <si>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</si>
  <si>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</si>
  <si>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</si>
  <si>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</si>
  <si>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</si>
  <si>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</si>
  <si>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</si>
  <si>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</si>
  <si>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</si>
  <si>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</si>
  <si>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</si>
  <si>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</si>
  <si>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</si>
  <si>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</si>
  <si>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</si>
  <si>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</si>
  <si>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</si>
  <si>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</si>
  <si>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</si>
  <si>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</si>
  <si>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</si>
  <si>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</si>
  <si>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</si>
  <si>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</si>
  <si>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</si>
  <si>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</si>
  <si>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</si>
  <si>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</si>
  <si>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</si>
  <si>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</si>
  <si>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</si>
  <si>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</si>
  <si>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</si>
  <si>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</si>
  <si>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</si>
  <si>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</si>
  <si>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</si>
  <si>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</si>
  <si>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</si>
  <si>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</si>
  <si>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</si>
  <si>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</si>
  <si>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</si>
  <si>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</si>
  <si>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</si>
  <si>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</si>
  <si>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</si>
  <si>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</si>
  <si>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</si>
  <si>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</si>
  <si>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</si>
  <si>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</si>
  <si>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</si>
  <si>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</si>
  <si>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</si>
  <si>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</si>
  <si>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</si>
  <si>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</si>
  <si>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</si>
  <si>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</si>
  <si>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</si>
  <si>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</si>
  <si>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</si>
  <si>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</si>
  <si>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</si>
  <si>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</si>
  <si>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</si>
  <si>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</si>
  <si>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</si>
  <si>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</si>
  <si>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</si>
  <si>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</si>
  <si>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</si>
  <si>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</si>
  <si>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</si>
  <si>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</si>
  <si>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</si>
  <si>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</si>
  <si>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</si>
  <si>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</si>
  <si>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</si>
  <si>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</si>
  <si>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</si>
  <si>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</si>
  <si>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</si>
  <si>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</si>
  <si>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</si>
  <si>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</si>
  <si>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</si>
  <si>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</si>
  <si>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</si>
  <si>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</si>
  <si>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</si>
  <si>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</si>
  <si>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</si>
  <si>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</si>
  <si>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</si>
  <si>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</si>
  <si>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</si>
  <si>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</si>
  <si>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</si>
  <si>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</si>
  <si>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</si>
  <si>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</si>
  <si>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</si>
  <si>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</si>
  <si>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</si>
  <si>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</si>
  <si>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</si>
  <si>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</si>
  <si>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</si>
  <si>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</si>
  <si>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</si>
  <si>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</si>
  <si>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</si>
  <si>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</si>
  <si>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</si>
  <si>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</si>
  <si>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</si>
  <si>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</si>
  <si>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</si>
  <si>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</si>
  <si>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</si>
  <si>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</si>
  <si>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</si>
  <si>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</si>
  <si>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</si>
  <si>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</si>
  <si>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</si>
  <si>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</si>
  <si>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</si>
  <si>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</si>
  <si>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</si>
  <si>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</si>
  <si>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</si>
  <si>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</si>
  <si>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</si>
  <si>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</si>
  <si>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</si>
  <si>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</si>
  <si>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</si>
  <si>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</si>
  <si>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</si>
  <si>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</si>
  <si>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</si>
  <si>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</si>
  <si>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</si>
  <si>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</si>
  <si>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</si>
  <si>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</si>
  <si>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</si>
  <si>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</si>
  <si>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</si>
  <si>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</si>
  <si>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</si>
  <si>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</si>
  <si>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</si>
  <si>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</si>
  <si>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</si>
  <si>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</si>
  <si>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</si>
  <si>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</si>
  <si>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</si>
  <si>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</si>
  <si>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</si>
  <si>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</si>
  <si>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</si>
  <si>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</si>
  <si>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</si>
  <si>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</si>
  <si>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</si>
  <si>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</si>
  <si>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</si>
  <si>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</si>
  <si>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</si>
  <si>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</si>
  <si>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</si>
  <si>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</si>
  <si>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</si>
  <si>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</si>
  <si>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</si>
  <si>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</si>
  <si>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</si>
  <si>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</si>
  <si>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</si>
  <si>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</si>
  <si>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</si>
  <si>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</si>
  <si>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</si>
  <si>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</si>
  <si>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</si>
  <si>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</si>
  <si>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</si>
  <si>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</si>
  <si>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</si>
  <si>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</si>
  <si>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</si>
  <si>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</si>
  <si>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</si>
  <si>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</si>
  <si>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</si>
  <si>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</si>
  <si>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</si>
  <si>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</si>
  <si>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</si>
  <si>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</si>
  <si>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</si>
  <si>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</si>
  <si>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</si>
  <si>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</si>
  <si>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</si>
  <si>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</si>
  <si>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</si>
  <si>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</si>
  <si>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</si>
  <si>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</si>
  <si>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</si>
  <si>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</si>
  <si>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</si>
  <si>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</si>
  <si>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</si>
  <si>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</si>
  <si>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</si>
  <si>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</si>
  <si>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</si>
  <si>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</si>
  <si>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</si>
  <si>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</si>
  <si>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</si>
  <si>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</si>
  <si>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</si>
  <si>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</si>
  <si>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</si>
  <si>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</si>
  <si>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</si>
  <si>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</si>
  <si>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</si>
  <si>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</si>
  <si>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</si>
  <si>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</si>
  <si>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</si>
  <si>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</si>
  <si>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</si>
  <si>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</si>
  <si>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</si>
  <si>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</si>
  <si>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</si>
  <si>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</si>
  <si>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</si>
  <si>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</si>
  <si>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</si>
  <si>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</si>
  <si>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</si>
  <si>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</si>
  <si>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</si>
  <si>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</si>
  <si>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</si>
  <si>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</si>
  <si>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</si>
  <si>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</si>
  <si>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</si>
  <si>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</si>
  <si>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</si>
  <si>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</si>
  <si>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</si>
  <si>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</si>
  <si>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</si>
  <si>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</si>
  <si>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</si>
  <si>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</si>
  <si>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</si>
  <si>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</si>
  <si>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</si>
  <si>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</si>
  <si>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</si>
  <si>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</si>
  <si>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</si>
  <si>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</si>
  <si>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</si>
  <si>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</si>
  <si>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</si>
  <si>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</si>
  <si>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</si>
  <si>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</si>
  <si>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</si>
  <si>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</si>
  <si>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</si>
  <si>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</si>
  <si>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</si>
  <si>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</si>
  <si>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</si>
  <si>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</si>
  <si>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</si>
  <si>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</si>
  <si>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</si>
  <si>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</si>
  <si>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</si>
  <si>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</si>
  <si>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</si>
  <si>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</si>
  <si>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</si>
  <si>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</si>
  <si>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</si>
  <si>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</si>
  <si>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</si>
  <si>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</si>
  <si>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</si>
  <si>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</si>
  <si>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</si>
  <si>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</si>
  <si>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</si>
  <si>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</si>
  <si>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</si>
  <si>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</si>
  <si>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</si>
  <si>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</si>
  <si>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</si>
  <si>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</si>
  <si>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</si>
  <si>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</si>
  <si>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</si>
  <si>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</si>
  <si>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</si>
  <si>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</si>
  <si>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</si>
  <si>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</si>
  <si>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</si>
  <si>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</si>
  <si>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</si>
  <si>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</si>
  <si>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</si>
  <si>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</si>
  <si>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</si>
  <si>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</si>
  <si>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</si>
  <si>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</si>
  <si>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</si>
  <si>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</si>
  <si>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</si>
  <si>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</si>
  <si>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</si>
  <si>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</si>
  <si>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</si>
  <si>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</si>
  <si>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</si>
  <si>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</si>
  <si>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</si>
  <si>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</si>
  <si>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</si>
  <si>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</si>
  <si>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</si>
  <si>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</si>
  <si>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</si>
  <si>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</si>
  <si>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</si>
  <si>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</si>
  <si>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</si>
  <si>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</si>
  <si>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</si>
  <si>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</si>
  <si>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</si>
  <si>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</si>
  <si>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</si>
  <si>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</si>
  <si>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</si>
  <si>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</si>
  <si>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</si>
  <si>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</si>
  <si>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</si>
  <si>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</si>
  <si>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</si>
  <si>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</si>
  <si>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</si>
  <si>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</si>
  <si>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</si>
  <si>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</si>
  <si>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</si>
  <si>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</si>
  <si>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</si>
  <si>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</si>
  <si>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</si>
  <si>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</si>
  <si>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</si>
  <si>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</si>
  <si>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</si>
  <si>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</si>
  <si>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</si>
  <si>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</si>
  <si>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</si>
  <si>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</si>
  <si>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</si>
  <si>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</si>
  <si>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</si>
  <si>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</si>
  <si>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</si>
  <si>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</si>
  <si>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</si>
  <si>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</si>
  <si>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</si>
  <si>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</si>
  <si>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</si>
  <si>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</si>
  <si>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</si>
  <si>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</si>
  <si>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</si>
  <si>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</si>
  <si>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</si>
  <si>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</si>
  <si>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</si>
  <si>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</si>
  <si>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</si>
  <si>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</si>
  <si>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</si>
  <si>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</si>
  <si>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</si>
  <si>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</si>
  <si>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</si>
  <si>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</si>
  <si>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</si>
  <si>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</si>
  <si>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</si>
  <si>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</si>
  <si>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</si>
  <si>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</si>
  <si>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</si>
  <si>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</si>
  <si>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</si>
  <si>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</si>
  <si>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</si>
  <si>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</si>
  <si>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</si>
  <si>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</si>
  <si>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</si>
  <si>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</si>
  <si>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</si>
  <si>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</si>
  <si>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</si>
  <si>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</si>
  <si>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</si>
  <si>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</si>
  <si>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</si>
  <si>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</si>
  <si>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</si>
  <si>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</si>
  <si>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</si>
  <si>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</si>
  <si>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</si>
  <si>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</si>
  <si>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</si>
  <si>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</si>
  <si>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</si>
  <si>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</si>
  <si>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</si>
  <si>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</si>
  <si>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</si>
  <si>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</si>
  <si>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</si>
  <si>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</si>
  <si>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</si>
  <si>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</si>
  <si>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</si>
  <si>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</si>
  <si>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</si>
  <si>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</si>
  <si>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</si>
  <si>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</si>
  <si>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</si>
  <si>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</si>
  <si>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</si>
  <si>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</si>
  <si>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</si>
  <si>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</si>
  <si>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</si>
  <si>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</si>
  <si>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</si>
  <si>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</si>
  <si>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</si>
  <si>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</si>
  <si>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</si>
  <si>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</si>
  <si>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</si>
  <si>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</si>
  <si>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</si>
  <si>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</si>
  <si>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</si>
  <si>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</si>
  <si>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</si>
  <si>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</si>
  <si>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</si>
  <si>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</si>
  <si>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</si>
  <si>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</si>
  <si>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</si>
  <si>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</si>
  <si>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</si>
  <si>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</si>
  <si>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</si>
  <si>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</si>
  <si>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</si>
  <si>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</si>
  <si>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</si>
  <si>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</si>
  <si>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</si>
  <si>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</si>
  <si>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</si>
  <si>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</si>
  <si>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</si>
  <si>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</si>
  <si>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</si>
  <si>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</si>
  <si>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</si>
  <si>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</si>
  <si>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</si>
  <si>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</si>
  <si>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</si>
  <si>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</si>
  <si>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</si>
  <si>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</si>
  <si>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</si>
  <si>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</si>
  <si>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</si>
  <si>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</si>
  <si>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</si>
  <si>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</si>
  <si>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</si>
  <si>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</si>
  <si>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</si>
  <si>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</si>
  <si>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</si>
  <si>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</si>
  <si>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</si>
  <si>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</si>
  <si>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</si>
  <si>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</si>
  <si>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</si>
  <si>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</si>
  <si>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</si>
  <si>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</si>
  <si>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</si>
  <si>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</si>
  <si>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</si>
  <si>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</si>
  <si>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</si>
  <si>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</si>
  <si>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</si>
  <si>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</si>
  <si>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</si>
  <si>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</si>
  <si>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</si>
  <si>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</si>
  <si>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</si>
  <si>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</si>
  <si>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</si>
  <si>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</si>
  <si>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</si>
  <si>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</si>
  <si>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</si>
  <si>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</si>
  <si>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</si>
  <si>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</si>
  <si>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</si>
  <si>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</si>
  <si>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</si>
  <si>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</si>
  <si>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</si>
  <si>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</si>
  <si>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</si>
  <si>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</si>
  <si>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</si>
  <si>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</si>
  <si>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</si>
  <si>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</si>
  <si>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</si>
  <si>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</si>
  <si>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</si>
  <si>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</si>
  <si>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</si>
  <si>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</si>
  <si>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</si>
  <si>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</si>
  <si>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</si>
  <si>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</si>
  <si>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</si>
  <si>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</si>
  <si>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</si>
  <si>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</si>
  <si>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</si>
  <si>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</si>
  <si>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</si>
  <si>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</si>
  <si>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</si>
  <si>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</si>
  <si>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</si>
  <si>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</si>
  <si>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</si>
  <si>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</si>
  <si>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</si>
  <si>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</si>
  <si>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</si>
  <si>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</si>
  <si>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</si>
  <si>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</si>
  <si>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</si>
  <si>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</si>
  <si>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</si>
  <si>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</si>
  <si>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</si>
  <si>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</si>
  <si>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</si>
  <si>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</si>
  <si>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</si>
  <si>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</si>
  <si>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</si>
  <si>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</si>
  <si>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</si>
  <si>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</si>
  <si>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</si>
  <si>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</si>
  <si>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</si>
  <si>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</si>
  <si>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</si>
  <si>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</si>
  <si>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</si>
  <si>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</si>
  <si>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</si>
  <si>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</si>
  <si>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</si>
  <si>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</si>
  <si>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</si>
  <si>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</si>
  <si>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</si>
  <si>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</si>
  <si>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</si>
  <si>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</si>
  <si>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</si>
  <si>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</si>
  <si>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</si>
  <si>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</si>
  <si>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</si>
  <si>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</si>
  <si>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</si>
  <si>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</si>
  <si>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</si>
  <si>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</si>
  <si>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</si>
  <si>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</si>
  <si>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</si>
  <si>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</si>
  <si>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</si>
  <si>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</si>
  <si>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</si>
  <si>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</si>
  <si>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</si>
  <si>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</si>
  <si>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</si>
  <si>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</si>
  <si>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</si>
  <si>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</si>
  <si>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</si>
  <si>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</si>
  <si>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</si>
  <si>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</si>
  <si>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</si>
  <si>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</si>
  <si>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</si>
  <si>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</si>
  <si>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</si>
  <si>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</si>
  <si>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</si>
  <si>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</si>
  <si>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</si>
  <si>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</si>
  <si>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</si>
  <si>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</si>
  <si>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</si>
  <si>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</si>
  <si>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</si>
  <si>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</si>
  <si>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</si>
  <si>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</si>
  <si>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</si>
  <si>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</si>
  <si>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</si>
  <si>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</si>
  <si>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</si>
  <si>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</si>
  <si>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</si>
  <si>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</si>
  <si>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</si>
  <si>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</si>
  <si>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</si>
  <si>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</si>
  <si>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</si>
  <si>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</si>
  <si>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</si>
  <si>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</si>
  <si>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</si>
  <si>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</si>
  <si>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</si>
  <si>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</si>
  <si>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</si>
  <si>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</si>
  <si>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</si>
  <si>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</si>
  <si>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</si>
  <si>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</si>
  <si>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</si>
  <si>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</si>
  <si>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</si>
  <si>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</si>
  <si>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</si>
  <si>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</si>
  <si>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</si>
  <si>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</si>
  <si>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</si>
  <si>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</si>
  <si>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</si>
  <si>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</si>
  <si>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</si>
  <si>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</si>
  <si>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</si>
  <si>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</si>
  <si>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</si>
  <si>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</si>
  <si>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</si>
  <si>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</si>
  <si>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</si>
  <si>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</si>
  <si>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</si>
  <si>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</si>
  <si>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</si>
  <si>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</si>
  <si>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</si>
  <si>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</si>
  <si>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</si>
  <si>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</si>
  <si>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</si>
  <si>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</si>
  <si>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</si>
  <si>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</si>
  <si>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</si>
  <si>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</si>
  <si>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</si>
  <si>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</si>
  <si>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</si>
  <si>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</si>
  <si>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</si>
  <si>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</si>
  <si>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</si>
  <si>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</si>
  <si>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</si>
  <si>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</si>
  <si>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</si>
  <si>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</si>
  <si>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</si>
  <si>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</si>
  <si>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</si>
  <si>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</si>
  <si>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</si>
  <si>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</si>
  <si>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</si>
  <si>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</si>
  <si>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</si>
  <si>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</si>
  <si>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</si>
  <si>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</si>
  <si>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</si>
  <si>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</si>
  <si>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</si>
  <si>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</si>
  <si>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</si>
  <si>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</si>
  <si>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</si>
  <si>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</si>
  <si>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</si>
  <si>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</si>
  <si>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</si>
  <si>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</si>
  <si>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</si>
  <si>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</si>
  <si>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</si>
  <si>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</si>
  <si>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</si>
  <si>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</si>
  <si>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</si>
  <si>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</si>
  <si>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</si>
  <si>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</si>
  <si>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</si>
  <si>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</si>
  <si>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</si>
  <si>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</si>
  <si>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</si>
  <si>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</si>
  <si>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</si>
  <si>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</si>
  <si>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</si>
  <si>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</si>
  <si>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</si>
  <si>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</si>
  <si>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</si>
  <si>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</si>
  <si>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</si>
  <si>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</si>
  <si>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</si>
  <si>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</si>
  <si>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</si>
  <si>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</si>
  <si>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</si>
  <si>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</si>
  <si>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</si>
  <si>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</si>
  <si>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</si>
  <si>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</si>
  <si>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</si>
  <si>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</si>
  <si>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</si>
  <si>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</si>
  <si>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</si>
  <si>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</si>
  <si>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</si>
  <si>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</si>
  <si>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</si>
  <si>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</si>
  <si>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</si>
  <si>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</si>
  <si>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</si>
  <si>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</si>
  <si>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</si>
  <si>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</si>
  <si>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</si>
  <si>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</si>
  <si>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</si>
  <si>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</si>
  <si>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</si>
  <si>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</si>
  <si>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</si>
  <si>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</si>
  <si>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</si>
  <si>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</si>
  <si>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</si>
  <si>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</si>
  <si>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</si>
  <si>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</si>
  <si>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</si>
  <si>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</si>
  <si>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</si>
  <si>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</si>
  <si>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</si>
  <si>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</si>
  <si>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</si>
  <si>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</si>
  <si>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</si>
  <si>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</si>
  <si>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</si>
  <si>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</si>
  <si>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</si>
  <si>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</si>
  <si>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</si>
  <si>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</si>
  <si>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</si>
  <si>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</si>
  <si>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</si>
  <si>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</si>
  <si>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</si>
  <si>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</si>
  <si>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</si>
  <si>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</si>
  <si>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</si>
  <si>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</si>
  <si>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</si>
  <si>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</si>
  <si>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</si>
  <si>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</si>
  <si>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</si>
  <si>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</si>
  <si>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</si>
  <si>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</si>
  <si>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</si>
  <si>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</si>
  <si>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</si>
  <si>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</si>
  <si>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</si>
  <si>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</si>
  <si>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</si>
  <si>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</si>
  <si>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</si>
  <si>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</si>
  <si>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</si>
  <si>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</si>
  <si>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</si>
  <si>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</si>
  <si>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</si>
  <si>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</si>
  <si>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</si>
  <si>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</si>
  <si>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</si>
  <si>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</si>
  <si>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</si>
  <si>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</si>
  <si>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</si>
  <si>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</si>
  <si>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</si>
  <si>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</si>
  <si>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</si>
  <si>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</si>
  <si>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</si>
  <si>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</si>
  <si>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</si>
  <si>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</si>
  <si>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</si>
  <si>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</si>
  <si>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</si>
  <si>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</si>
  <si>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</si>
  <si>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</si>
  <si>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</si>
  <si>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</si>
  <si>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</si>
  <si>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</si>
  <si>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</si>
  <si>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</si>
  <si>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</si>
  <si>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</si>
  <si>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</si>
  <si>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</si>
  <si>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</si>
  <si>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</si>
  <si>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</si>
  <si>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</si>
  <si>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</si>
  <si>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</si>
  <si>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</si>
  <si>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</si>
  <si>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</si>
  <si>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</si>
  <si>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</si>
  <si>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</si>
  <si>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</si>
  <si>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</si>
  <si>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</si>
  <si>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</si>
  <si>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</si>
  <si>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</si>
  <si>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</si>
  <si>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</si>
  <si>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</si>
  <si>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</si>
  <si>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</si>
  <si>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</si>
  <si>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</si>
  <si>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</si>
  <si>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</si>
  <si>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</si>
  <si>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</si>
  <si>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</si>
  <si>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</si>
  <si>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</si>
  <si>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</si>
  <si>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</si>
  <si>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</si>
  <si>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</si>
  <si>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</si>
  <si>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</si>
  <si>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</si>
  <si>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</si>
  <si>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</si>
  <si>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</si>
  <si>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</si>
  <si>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</si>
  <si>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</si>
  <si>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</si>
  <si>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</si>
  <si>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</si>
  <si>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</si>
  <si>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</si>
  <si>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</si>
  <si>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</si>
  <si>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</si>
  <si>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</si>
  <si>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</si>
  <si>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</si>
  <si>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</si>
  <si>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</si>
  <si>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</si>
  <si>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</si>
  <si>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</si>
  <si>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</si>
  <si>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</si>
  <si>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</si>
  <si>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</si>
  <si>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</si>
  <si>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</si>
  <si>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</si>
  <si>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</si>
  <si>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</si>
  <si>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</si>
  <si>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</si>
  <si>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</si>
  <si>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</si>
  <si>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</si>
  <si>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</si>
  <si>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</si>
  <si>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</si>
  <si>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</si>
  <si>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</si>
  <si>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</si>
  <si>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</si>
  <si>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</si>
  <si>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</si>
  <si>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</si>
  <si>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</si>
  <si>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</si>
  <si>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</si>
  <si>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</si>
  <si>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</si>
  <si>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</si>
  <si>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</si>
  <si>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</si>
  <si>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</si>
  <si>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</si>
  <si>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</si>
  <si>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</si>
  <si>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</si>
  <si>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</si>
  <si>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</si>
  <si>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</si>
  <si>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</si>
  <si>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</si>
  <si>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</si>
  <si>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</si>
  <si>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</si>
  <si>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</si>
  <si>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</si>
  <si>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</si>
  <si>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</si>
  <si>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</si>
  <si>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</si>
  <si>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</si>
  <si>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</si>
  <si>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</si>
  <si>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</si>
  <si>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</si>
  <si>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</si>
  <si>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</si>
  <si>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</si>
  <si>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</si>
  <si>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</si>
  <si>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</si>
  <si>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</si>
  <si>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</si>
  <si>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</si>
  <si>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</si>
  <si>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</si>
  <si>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</si>
  <si>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</si>
  <si>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</si>
  <si>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</si>
  <si>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</si>
  <si>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</si>
  <si>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</si>
  <si>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</si>
  <si>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</si>
  <si>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</si>
  <si>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</si>
  <si>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</si>
  <si>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</si>
  <si>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</si>
  <si>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</si>
  <si>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</si>
  <si>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</si>
  <si>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</si>
  <si>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</si>
  <si>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</si>
  <si>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</si>
  <si>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</si>
  <si>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</si>
  <si>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</si>
  <si>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</si>
  <si>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</si>
  <si>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</si>
  <si>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</si>
  <si>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</si>
  <si>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</si>
  <si>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</si>
  <si>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</si>
  <si>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</si>
  <si>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</si>
  <si>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</si>
  <si>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</si>
  <si>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</si>
  <si>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</si>
  <si>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</si>
  <si>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</si>
  <si>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</si>
  <si>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</si>
  <si>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</si>
  <si>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</si>
  <si>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</si>
  <si>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</si>
  <si>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</si>
  <si>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</si>
  <si>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</si>
  <si>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</si>
  <si>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</si>
  <si>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</si>
  <si>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</si>
  <si>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</si>
  <si>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</si>
  <si>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</si>
  <si>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</si>
  <si>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</si>
  <si>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</si>
  <si>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</si>
  <si>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</si>
  <si>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</si>
  <si>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</si>
  <si>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</si>
  <si>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</si>
  <si>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</si>
  <si>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</si>
  <si>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</si>
  <si>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</si>
  <si>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</si>
  <si>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</si>
  <si>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</si>
  <si>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</si>
  <si>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</si>
  <si>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</si>
  <si>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</si>
  <si>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</si>
  <si>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</si>
  <si>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</si>
  <si>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</si>
  <si>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Logo</t>
  </si>
  <si>
    <t>Color Scheme</t>
  </si>
  <si>
    <t>#9FBFAD</t>
  </si>
  <si>
    <t>#748C76</t>
  </si>
  <si>
    <t>#505947</t>
  </si>
  <si>
    <t>#BF7F5A</t>
  </si>
  <si>
    <t>#BF3939</t>
  </si>
  <si>
    <t>#4887E6</t>
  </si>
  <si>
    <t>Accent 1</t>
  </si>
  <si>
    <t>Accent 2</t>
  </si>
  <si>
    <t>Accent 3</t>
  </si>
  <si>
    <t>Accent 4</t>
  </si>
  <si>
    <t>Accent 5</t>
  </si>
  <si>
    <t>Accent 6</t>
  </si>
  <si>
    <t>Emojis</t>
  </si>
  <si>
    <t>🛒</t>
  </si>
  <si>
    <t>👕</t>
  </si>
  <si>
    <t>💰</t>
  </si>
  <si>
    <t>⭐</t>
  </si>
  <si>
    <t>📅</t>
  </si>
  <si>
    <t>Orders</t>
  </si>
  <si>
    <t>Rating</t>
  </si>
  <si>
    <t>Days to deliver</t>
  </si>
  <si>
    <t>Format Codes</t>
  </si>
  <si>
    <t>#,##</t>
  </si>
  <si>
    <t>value with thousand's seperator</t>
  </si>
  <si>
    <t>$#,##,.0k</t>
  </si>
  <si>
    <t>Amount in thousands with one decimal</t>
  </si>
  <si>
    <t>0.0</t>
  </si>
  <si>
    <t>Other numbers</t>
  </si>
  <si>
    <t>Resouces:</t>
  </si>
  <si>
    <t>Excel Dashboard Tutorial Video</t>
  </si>
  <si>
    <t>Adv. Excel Dashboards Course by Chandoo</t>
  </si>
  <si>
    <t>You will get the full workbook in the course!</t>
  </si>
  <si>
    <t>Count of TX ID</t>
  </si>
  <si>
    <t>Sum of Quantity</t>
  </si>
  <si>
    <t>Sum of Amount</t>
  </si>
  <si>
    <t>Average of Rating C</t>
  </si>
  <si>
    <t>Average of Days to Deliver</t>
  </si>
  <si>
    <t>Values for Display</t>
  </si>
  <si>
    <t>orders</t>
  </si>
  <si>
    <t>qty</t>
  </si>
  <si>
    <t>amt</t>
  </si>
  <si>
    <t>avg rating</t>
  </si>
  <si>
    <t>avg days</t>
  </si>
  <si>
    <t>Row Labels</t>
  </si>
  <si>
    <t>Grand Total</t>
  </si>
  <si>
    <t>Column Labels</t>
  </si>
  <si>
    <t>Female</t>
  </si>
  <si>
    <t>Male</t>
  </si>
  <si>
    <t>Other</t>
  </si>
  <si>
    <t>Unknown</t>
  </si>
  <si>
    <t>6 TO 10</t>
  </si>
  <si>
    <t>More Than 10</t>
  </si>
  <si>
    <t>California Total</t>
  </si>
  <si>
    <t>Jan</t>
  </si>
  <si>
    <t>Feb</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</si>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</sst>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0.0%"/>
  </numFmts>
  <fonts count="4" x14ac:knownFonts="1">
    <font>
      <sz val="11"/>
      <color theme="1"/>
      <name val="Aptos Narrow"/>
      <family val="2"/>
      <scheme val="minor"/>
    </font>
    <font>
      <b/>
      <sz val="11"/>
      <color theme="1"/>
      <name val="Aptos Narrow"/>
      <family val="2"/>
      <scheme val="minor"/>
    </font>
    <font>
      <sz val="8"/>
      <name val="Aptos Narrow"/>
      <family val="2"/>
      <scheme val="minor"/>
    </font>
    <font>
      <u/>
      <sz val="11"/>
      <color theme="10"/>
      <name val="Aptos Narrow"/>
      <family val="2"/>
      <scheme val="minor"/>
    </font>
  </fonts>
  <fills count="9">
    <fill>
      <patternFill patternType="none"/>
    </fill>
    <fill>
      <patternFill patternType="gray125"/>
    </fill>
    <fill>
      <patternFill patternType="solid">
        <fgColor theme="9"/>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4" tint="0.79998168889431442"/>
        <bgColor theme="4" tint="0.79998168889431442"/>
      </patternFill>
    </fill>
  </fills>
  <borders count="2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right/>
      <top/>
      <bottom style="thin">
        <color theme="4" tint="0.39997558519241921"/>
      </bottom>
      <diagonal/>
    </border>
    <border>
      <left/>
      <right style="thick">
        <color theme="0"/>
      </right>
      <top/>
      <bottom style="thick">
        <color theme="0"/>
      </bottom>
      <diagonal/>
    </border>
    <border>
      <left style="thick">
        <color theme="0"/>
      </left>
      <right style="thick">
        <color theme="0"/>
      </right>
      <top/>
      <bottom style="thick">
        <color theme="0"/>
      </bottom>
      <diagonal/>
    </border>
    <border>
      <left style="thick">
        <color theme="0"/>
      </left>
      <right/>
      <top/>
      <bottom style="thick">
        <color theme="0"/>
      </bottom>
      <diagonal/>
    </border>
    <border>
      <left/>
      <right style="thick">
        <color theme="0"/>
      </right>
      <top style="thick">
        <color theme="0"/>
      </top>
      <bottom style="thick">
        <color theme="0"/>
      </bottom>
      <diagonal/>
    </border>
    <border>
      <left style="thick">
        <color theme="0"/>
      </left>
      <right style="thick">
        <color theme="0"/>
      </right>
      <top style="thick">
        <color theme="0"/>
      </top>
      <bottom style="thick">
        <color theme="0"/>
      </bottom>
      <diagonal/>
    </border>
    <border>
      <left style="thick">
        <color theme="0"/>
      </left>
      <right/>
      <top style="thick">
        <color theme="0"/>
      </top>
      <bottom style="thick">
        <color theme="0"/>
      </bottom>
      <diagonal/>
    </border>
    <border>
      <left/>
      <right style="thick">
        <color theme="0"/>
      </right>
      <top style="thick">
        <color theme="0"/>
      </top>
      <bottom style="thin">
        <color indexed="64"/>
      </bottom>
      <diagonal/>
    </border>
    <border>
      <left style="thick">
        <color theme="0"/>
      </left>
      <right style="thick">
        <color theme="0"/>
      </right>
      <top style="thick">
        <color theme="0"/>
      </top>
      <bottom style="thin">
        <color indexed="64"/>
      </bottom>
      <diagonal/>
    </border>
    <border>
      <left style="thick">
        <color theme="0"/>
      </left>
      <right/>
      <top style="thick">
        <color theme="0"/>
      </top>
      <bottom style="thin">
        <color indexed="64"/>
      </bottom>
      <diagonal/>
    </border>
  </borders>
  <cellStyleXfs count="2">
    <xf numFmtId="0" fontId="0" fillId="0" borderId="0"/>
    <xf numFmtId="0" fontId="3" fillId="0" borderId="0" applyNumberFormat="0" applyFill="0" applyBorder="0" applyAlignment="0" applyProtection="0"/>
  </cellStyleXfs>
  <cellXfs count="37">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0" borderId="0" xfId="0" quotePrefix="1"/>
    <xf numFmtId="0" fontId="3" fillId="0" borderId="0" xfId="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1" fillId="8" borderId="10" xfId="0" applyFont="1" applyFill="1" applyBorder="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0" fontId="0" fillId="0" borderId="11" xfId="0" applyBorder="1"/>
    <xf numFmtId="0" fontId="0" fillId="0" borderId="12" xfId="0" applyBorder="1"/>
    <xf numFmtId="0" fontId="0" fillId="0" borderId="13" xfId="0" applyBorder="1"/>
    <xf numFmtId="0" fontId="0" fillId="0" borderId="14" xfId="0" applyBorder="1"/>
    <xf numFmtId="165" fontId="0" fillId="0" borderId="15" xfId="0" applyNumberFormat="1" applyBorder="1"/>
    <xf numFmtId="165" fontId="0" fillId="0" borderId="16" xfId="0" applyNumberFormat="1" applyBorder="1"/>
    <xf numFmtId="0" fontId="0" fillId="0" borderId="17" xfId="0" applyBorder="1"/>
    <xf numFmtId="165" fontId="0" fillId="0" borderId="18" xfId="0" applyNumberFormat="1" applyBorder="1"/>
    <xf numFmtId="165" fontId="0" fillId="0" borderId="19" xfId="0" applyNumberFormat="1" applyBorder="1"/>
    <xf numFmtId="0" fontId="1" fillId="0" borderId="0" xfId="0" applyFont="1"/>
    <xf numFmtId="0" fontId="1" fillId="0" borderId="10" xfId="0" applyFont="1" applyBorder="1"/>
  </cellXfs>
  <cellStyles count="2">
    <cellStyle name="Hyperlink" xfId="1" builtinId="8"/>
    <cellStyle name="Normal" xfId="0" builtinId="0"/>
  </cellStyles>
  <dxfs count="5">
    <dxf>
      <numFmt numFmtId="0" formatCode="General"/>
    </dxf>
    <dxf>
      <numFmt numFmtId="0" formatCode="General"/>
    </dxf>
    <dxf>
      <numFmt numFmtId="0" formatCode="General"/>
    </dxf>
    <dxf>
      <numFmt numFmtId="166" formatCode="d\-mmm\-yy"/>
    </dxf>
    <dxf>
      <numFmt numFmtId="166" formatCode="d\-m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Last</a:t>
            </a:r>
            <a:r>
              <a:rPr lang="en-IN" baseline="0"/>
              <a:t> 13 Weeks Trends-Qty &amp; Amount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pivot!$B$11</c:f>
              <c:strCache>
                <c:ptCount val="1"/>
                <c:pt idx="0">
                  <c:v>Sum of Quantity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pivot!$A$12:$A$25</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pivot!$B$12:$B$25</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FB2B-4712-AE16-4BF7B82EB380}"/>
            </c:ext>
          </c:extLst>
        </c:ser>
        <c:dLbls>
          <c:showLegendKey val="0"/>
          <c:showVal val="0"/>
          <c:showCatName val="0"/>
          <c:showSerName val="0"/>
          <c:showPercent val="0"/>
          <c:showBubbleSize val="0"/>
        </c:dLbls>
        <c:marker val="1"/>
        <c:smooth val="0"/>
        <c:axId val="1285398640"/>
        <c:axId val="1974388320"/>
      </c:lineChart>
      <c:lineChart>
        <c:grouping val="stacked"/>
        <c:varyColors val="0"/>
        <c:ser>
          <c:idx val="1"/>
          <c:order val="1"/>
          <c:tx>
            <c:strRef>
              <c:f>pivot!$C$11</c:f>
              <c:strCache>
                <c:ptCount val="1"/>
                <c:pt idx="0">
                  <c:v>Sum of Amount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pivot!$A$12:$A$25</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pivot!$C$12:$C$25</c:f>
              <c:numCache>
                <c:formatCode>"$"#,##0</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FB2B-4712-AE16-4BF7B82EB380}"/>
            </c:ext>
          </c:extLst>
        </c:ser>
        <c:dLbls>
          <c:showLegendKey val="0"/>
          <c:showVal val="0"/>
          <c:showCatName val="0"/>
          <c:showSerName val="0"/>
          <c:showPercent val="0"/>
          <c:showBubbleSize val="0"/>
        </c:dLbls>
        <c:marker val="1"/>
        <c:smooth val="0"/>
        <c:axId val="1289212912"/>
        <c:axId val="1289212432"/>
      </c:lineChart>
      <c:catAx>
        <c:axId val="1285398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4388320"/>
        <c:crosses val="autoZero"/>
        <c:auto val="1"/>
        <c:lblAlgn val="ctr"/>
        <c:lblOffset val="100"/>
        <c:noMultiLvlLbl val="0"/>
      </c:catAx>
      <c:valAx>
        <c:axId val="1974388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5398640"/>
        <c:crosses val="autoZero"/>
        <c:crossBetween val="between"/>
      </c:valAx>
      <c:valAx>
        <c:axId val="1289212432"/>
        <c:scaling>
          <c:orientation val="minMax"/>
        </c:scaling>
        <c:delete val="0"/>
        <c:axPos val="r"/>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9212912"/>
        <c:crosses val="max"/>
        <c:crossBetween val="between"/>
      </c:valAx>
      <c:catAx>
        <c:axId val="1289212912"/>
        <c:scaling>
          <c:orientation val="minMax"/>
        </c:scaling>
        <c:delete val="1"/>
        <c:axPos val="b"/>
        <c:numFmt formatCode="General" sourceLinked="1"/>
        <c:majorTickMark val="out"/>
        <c:minorTickMark val="none"/>
        <c:tickLblPos val="nextTo"/>
        <c:crossAx val="128921243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[ecommerce-blank.xlsx]Sheet4!PivotTable4</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How many they buy?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prstDash val="solid"/>
                      <a:round/>
                    </a:ln>
                    <a:effectLst/>
                  </c:spPr>
                </c15:leaderLines>
              </c:ext>
            </c:extLst>
          </c:dLbls>
          <c:cat>
            <c:strRef>
              <c:f>Sheet4!$A$4:$A$11</c:f>
              <c:strCache>
                <c:ptCount val="7"/>
                <c:pt idx="0">
                  <c:v>1</c:v>
                </c:pt>
                <c:pt idx="1">
                  <c:v>2</c:v>
                </c:pt>
                <c:pt idx="2">
                  <c:v>3</c:v>
                </c:pt>
                <c:pt idx="3">
                  <c:v>4</c:v>
                </c:pt>
                <c:pt idx="4">
                  <c:v>5</c:v>
                </c:pt>
                <c:pt idx="5">
                  <c:v>6 TO 10</c:v>
                </c:pt>
                <c:pt idx="6">
                  <c:v>More Than 10</c:v>
                </c:pt>
              </c:strCache>
            </c:strRef>
          </c:cat>
          <c:val>
            <c:numRef>
              <c:f>Sheet4!$B$4:$B$11</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2-CB57-4CDD-9245-2FD577D36AC7}"/>
            </c:ext>
          </c:extLst>
        </c:ser>
        <c:dLbls>
          <c:dLblPos val="outEnd"/>
          <c:showLegendKey val="0"/>
          <c:showVal val="1"/>
          <c:showCatName val="0"/>
          <c:showSerName val="0"/>
          <c:showPercent val="0"/>
          <c:showBubbleSize val="0"/>
        </c:dLbls>
        <c:gapWidth val="3"/>
        <c:overlap val="-27"/>
        <c:axId val="1274449584"/>
        <c:axId val="1274450064"/>
      </c:barChart>
      <c:catAx>
        <c:axId val="127444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450064"/>
        <c:crosses val="autoZero"/>
        <c:auto val="1"/>
        <c:lblAlgn val="ctr"/>
        <c:lblOffset val="100"/>
        <c:noMultiLvlLbl val="0"/>
      </c:catAx>
      <c:valAx>
        <c:axId val="1274450064"/>
        <c:scaling>
          <c:orientation val="minMax"/>
        </c:scaling>
        <c:delete val="1"/>
        <c:axPos val="l"/>
        <c:numFmt formatCode="General" sourceLinked="1"/>
        <c:majorTickMark val="none"/>
        <c:minorTickMark val="none"/>
        <c:tickLblPos val="nextTo"/>
        <c:crossAx val="1274449584"/>
        <c:crosses val="autoZero"/>
        <c:crossBetween val="between"/>
      </c:valAx>
      <c:spPr>
        <a:solidFill>
          <a:schemeClr val="bg1"/>
        </a:solidFill>
        <a:ln>
          <a:noFill/>
        </a:ln>
        <a:effectLst/>
      </c:spPr>
    </c:plotArea>
    <c:plotVisOnly val="1"/>
    <c:dispBlanksAs val="gap"/>
    <c:showDLblsOverMax val="0"/>
    <c:extLst/>
  </c:chart>
  <c:spPr>
    <a:solidFill>
      <a:schemeClr val="bg1"/>
    </a:solidFill>
    <a:ln w="0" cap="flat" cmpd="sng" algn="ctr">
      <a:solidFill>
        <a:schemeClr val="tx1">
          <a:lumMod val="15000"/>
          <a:lumOff val="85000"/>
        </a:schemeClr>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[ecommerce-blank.xlsx]Sheet5!PivotTable5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accent2"/>
                </a:solidFill>
              </a:rPr>
              <a:t>Which</a:t>
            </a:r>
            <a:r>
              <a:rPr lang="en-IN" baseline="0">
                <a:solidFill>
                  <a:schemeClr val="accent2"/>
                </a:solidFill>
              </a:rPr>
              <a:t> Products are Popular?</a:t>
            </a:r>
            <a:r>
              <a:rPr lang="en-IN" baseline="0"/>
              <a:t>Breakdown by Gender</a:t>
            </a:r>
            <a:endParaRPr lang="en-IN"/>
          </a:p>
        </c:rich>
      </c:tx>
      <c:layout>
        <c:manualLayout>
          <c:xMode val="edge"/>
          <c:yMode val="edge"/>
          <c:x val="0.10950394352937746"/>
          <c:y val="1.78997613365155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Sheet5!$B$3:$B$4</c:f>
              <c:strCache>
                <c:ptCount val="1"/>
                <c:pt idx="0">
                  <c:v>Female</c:v>
                </c:pt>
              </c:strCache>
            </c:strRef>
          </c:tx>
          <c:spPr>
            <a:solidFill>
              <a:schemeClr val="accent6">
                <a:tint val="58000"/>
              </a:schemeClr>
            </a:solidFill>
            <a:ln>
              <a:noFill/>
            </a:ln>
            <a:effectLst/>
          </c:spPr>
          <c:invertIfNegative val="0"/>
          <c:cat>
            <c:strRef>
              <c:f>Sheet5!$A$5:$A$25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Sheet5!$B$5:$B$25</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0-80FD-4DDA-8C11-C9774629A6F4}"/>
            </c:ext>
          </c:extLst>
        </c:ser>
        <c:ser>
          <c:idx val="1"/>
          <c:order val="1"/>
          <c:tx>
            <c:strRef>
              <c:f>Sheet5!$C$3:$C$4</c:f>
              <c:strCache>
                <c:ptCount val="1"/>
                <c:pt idx="0">
                  <c:v>Male</c:v>
                </c:pt>
              </c:strCache>
            </c:strRef>
          </c:tx>
          <c:spPr>
            <a:solidFill>
              <a:schemeClr val="accent6">
                <a:tint val="86000"/>
              </a:schemeClr>
            </a:solidFill>
            <a:ln>
              <a:noFill/>
            </a:ln>
            <a:effectLst/>
          </c:spPr>
          <c:invertIfNegative val="0"/>
          <c:cat>
            <c:strRef>
              <c:f>Sheet5!$A$5:$A$25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Sheet5!$C$5:$C$25</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01-80FD-4DDA-8C11-C9774629A6F4}"/>
            </c:ext>
          </c:extLst>
        </c:ser>
        <c:ser>
          <c:idx val="2"/>
          <c:order val="2"/>
          <c:tx>
            <c:strRef>
              <c:f>Sheet5!$D$3:$D$4</c:f>
              <c:strCache>
                <c:ptCount val="1"/>
                <c:pt idx="0">
                  <c:v>Other</c:v>
                </c:pt>
              </c:strCache>
            </c:strRef>
          </c:tx>
          <c:spPr>
            <a:solidFill>
              <a:schemeClr val="accent6">
                <a:shade val="86000"/>
              </a:schemeClr>
            </a:solidFill>
            <a:ln>
              <a:noFill/>
            </a:ln>
            <a:effectLst/>
          </c:spPr>
          <c:invertIfNegative val="0"/>
          <c:cat>
            <c:strRef>
              <c:f>Sheet5!$A$5:$A$25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Sheet5!$D$5:$D$25</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02-80FD-4DDA-8C11-C9774629A6F4}"/>
            </c:ext>
          </c:extLst>
        </c:ser>
        <c:ser>
          <c:idx val="3"/>
          <c:order val="3"/>
          <c:tx>
            <c:strRef>
              <c:f>Sheet5!$E$3:$E$4</c:f>
              <c:strCache>
                <c:ptCount val="1"/>
                <c:pt idx="0">
                  <c:v>Unknown</c:v>
                </c:pt>
              </c:strCache>
            </c:strRef>
          </c:tx>
          <c:spPr>
            <a:solidFill>
              <a:schemeClr val="accent6">
                <a:shade val="58000"/>
              </a:schemeClr>
            </a:solidFill>
            <a:ln>
              <a:noFill/>
            </a:ln>
            <a:effectLst/>
          </c:spPr>
          <c:invertIfNegative val="0"/>
          <c:cat>
            <c:strRef>
              <c:f>Sheet5!$A$5:$A$25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Sheet5!$E$5:$E$25</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03-80FD-4DDA-8C11-C9774629A6F4}"/>
            </c:ext>
          </c:extLst>
        </c:ser>
        <c:dLbls>
          <c:showLegendKey val="0"/>
          <c:showVal val="0"/>
          <c:showCatName val="0"/>
          <c:showSerName val="0"/>
          <c:showPercent val="0"/>
          <c:showBubbleSize val="0"/>
        </c:dLbls>
        <c:gapWidth val="15"/>
        <c:overlap val="100"/>
        <c:axId val="1298537584"/>
        <c:axId val="1298538064"/>
      </c:barChart>
      <c:catAx>
        <c:axId val="1298537584"/>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8538064"/>
        <c:crosses val="autoZero"/>
        <c:auto val="1"/>
        <c:lblAlgn val="ctr"/>
        <c:lblOffset val="100"/>
        <c:noMultiLvlLbl val="0"/>
      </c:catAx>
      <c:valAx>
        <c:axId val="1298538064"/>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8537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[ecommerce-blank.xlsx]Sheet5!PivotTable6</c:name>
    <c:fmtId val="2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8.999103770565264E-3"/>
              <c:y val="3.72653576530781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Sheet5!$J$4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FF4-432E-8917-F6D2D78C7F7E}"/>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7FF4-432E-8917-F6D2D78C7F7E}"/>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7FF4-432E-8917-F6D2D78C7F7E}"/>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7FF4-432E-8917-F6D2D78C7F7E}"/>
              </c:ext>
            </c:extLst>
          </c:dPt>
          <c:dLbls>
            <c:dLbl>
              <c:idx val="0"/>
              <c:layout>
                <c:manualLayout>
                  <c:x val="-8.999103770565264E-3"/>
                  <c:y val="3.726535765307817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FF4-432E-8917-F6D2D78C7F7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Sheet5!$I$5:$I$9</c:f>
              <c:strCache>
                <c:ptCount val="4"/>
                <c:pt idx="0">
                  <c:v>Female</c:v>
                </c:pt>
                <c:pt idx="1">
                  <c:v>Male</c:v>
                </c:pt>
                <c:pt idx="2">
                  <c:v>Other</c:v>
                </c:pt>
                <c:pt idx="3">
                  <c:v>Unknown</c:v>
                </c:pt>
              </c:strCache>
            </c:strRef>
          </c:cat>
          <c:val>
            <c:numRef>
              <c:f>Sheet5!$J$5:$J$9</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8-7FF4-432E-8917-F6D2D78C7F7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54471544715447151"/>
          <c:y val="0.14530216950729261"/>
          <c:w val="0.36585365853658536"/>
          <c:h val="0.8465264626731785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[ecommerce-blank.xlsx]Sheet7!PivotTable9</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How</a:t>
            </a:r>
            <a:r>
              <a:rPr lang="en-US" baseline="0"/>
              <a:t> long we take to ship?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91008393630058"/>
          <c:y val="0.32157981388690043"/>
          <c:w val="0.80293895103486079"/>
          <c:h val="0.53348935648381735"/>
        </c:manualLayout>
      </c:layout>
      <c:barChart>
        <c:barDir val="col"/>
        <c:grouping val="clustered"/>
        <c:varyColors val="0"/>
        <c:ser>
          <c:idx val="0"/>
          <c:order val="0"/>
          <c:tx>
            <c:strRef>
              <c:f>Sheet7!$B$3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Sheet7!$A$4:$A$19</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Sheet7!$B$4:$B$19</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B679-41CD-B2C4-88CDEB39E2FB}"/>
            </c:ext>
          </c:extLst>
        </c:ser>
        <c:dLbls>
          <c:dLblPos val="outEnd"/>
          <c:showLegendKey val="0"/>
          <c:showVal val="1"/>
          <c:showCatName val="0"/>
          <c:showSerName val="0"/>
          <c:showPercent val="0"/>
          <c:showBubbleSize val="0"/>
        </c:dLbls>
        <c:gapWidth val="15"/>
        <c:overlap val="-27"/>
        <c:axId val="1375633168"/>
        <c:axId val="1375635088"/>
      </c:barChart>
      <c:catAx>
        <c:axId val="13756331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5635088"/>
        <c:crosses val="autoZero"/>
        <c:auto val="1"/>
        <c:lblAlgn val="ctr"/>
        <c:lblOffset val="100"/>
        <c:noMultiLvlLbl val="0"/>
      </c:catAx>
      <c:valAx>
        <c:axId val="1375635088"/>
        <c:scaling>
          <c:orientation val="minMax"/>
        </c:scaling>
        <c:delete val="1"/>
        <c:axPos val="l"/>
        <c:numFmt formatCode="General" sourceLinked="1"/>
        <c:majorTickMark val="out"/>
        <c:minorTickMark val="none"/>
        <c:tickLblPos val="nextTo"/>
        <c:crossAx val="1375633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[ecommerce-blank.xlsx]Sheet8!PivotTable10</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Satisfaction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Sheet8!$B$3:$B$4</c:f>
              <c:strCache>
                <c:ptCount val="1"/>
                <c:pt idx="0">
                  <c:v>1</c:v>
                </c:pt>
              </c:strCache>
            </c:strRef>
          </c:tx>
          <c:spPr>
            <a:solidFill>
              <a:schemeClr val="accent6"/>
            </a:solidFill>
            <a:ln>
              <a:noFill/>
            </a:ln>
            <a:effectLst/>
          </c:spPr>
          <c:invertIfNegative val="0"/>
          <c:cat>
            <c:strRef>
              <c:f>Sheet8!$A$5:$A$8</c:f>
              <c:strCache>
                <c:ptCount val="3"/>
                <c:pt idx="0">
                  <c:v>Jan</c:v>
                </c:pt>
                <c:pt idx="1">
                  <c:v>Feb</c:v>
                </c:pt>
                <c:pt idx="2">
                  <c:v>Mar</c:v>
                </c:pt>
              </c:strCache>
            </c:strRef>
          </c:cat>
          <c:val>
            <c:numRef>
              <c:f>Sheet8!$B$5:$B$8</c:f>
              <c:numCache>
                <c:formatCode>General</c:formatCode>
                <c:ptCount val="3"/>
                <c:pt idx="0">
                  <c:v>7</c:v>
                </c:pt>
                <c:pt idx="1">
                  <c:v>8</c:v>
                </c:pt>
                <c:pt idx="2">
                  <c:v>6</c:v>
                </c:pt>
              </c:numCache>
            </c:numRef>
          </c:val>
          <c:extLst>
            <c:ext xmlns:c16="http://schemas.microsoft.com/office/drawing/2014/chart" uri="{C3380CC4-5D6E-409C-BE32-E72D297353CC}">
              <c16:uniqueId val="{00000000-DFA5-499C-BBD6-1619F9DA7896}"/>
            </c:ext>
          </c:extLst>
        </c:ser>
        <c:ser>
          <c:idx val="1"/>
          <c:order val="1"/>
          <c:tx>
            <c:strRef>
              <c:f>Sheet8!$C$3:$C$4</c:f>
              <c:strCache>
                <c:ptCount val="1"/>
                <c:pt idx="0">
                  <c:v>2</c:v>
                </c:pt>
              </c:strCache>
            </c:strRef>
          </c:tx>
          <c:spPr>
            <a:solidFill>
              <a:schemeClr val="accent5"/>
            </a:solidFill>
            <a:ln>
              <a:noFill/>
            </a:ln>
            <a:effectLst/>
          </c:spPr>
          <c:invertIfNegative val="0"/>
          <c:cat>
            <c:strRef>
              <c:f>Sheet8!$A$5:$A$8</c:f>
              <c:strCache>
                <c:ptCount val="3"/>
                <c:pt idx="0">
                  <c:v>Jan</c:v>
                </c:pt>
                <c:pt idx="1">
                  <c:v>Feb</c:v>
                </c:pt>
                <c:pt idx="2">
                  <c:v>Mar</c:v>
                </c:pt>
              </c:strCache>
            </c:strRef>
          </c:cat>
          <c:val>
            <c:numRef>
              <c:f>Sheet8!$C$5:$C$8</c:f>
              <c:numCache>
                <c:formatCode>General</c:formatCode>
                <c:ptCount val="3"/>
                <c:pt idx="0">
                  <c:v>37</c:v>
                </c:pt>
                <c:pt idx="1">
                  <c:v>51</c:v>
                </c:pt>
                <c:pt idx="2">
                  <c:v>39</c:v>
                </c:pt>
              </c:numCache>
            </c:numRef>
          </c:val>
          <c:extLst>
            <c:ext xmlns:c16="http://schemas.microsoft.com/office/drawing/2014/chart" uri="{C3380CC4-5D6E-409C-BE32-E72D297353CC}">
              <c16:uniqueId val="{00000001-DFA5-499C-BBD6-1619F9DA7896}"/>
            </c:ext>
          </c:extLst>
        </c:ser>
        <c:ser>
          <c:idx val="2"/>
          <c:order val="2"/>
          <c:tx>
            <c:strRef>
              <c:f>Sheet8!$D$3:$D$4</c:f>
              <c:strCache>
                <c:ptCount val="1"/>
                <c:pt idx="0">
                  <c:v>3</c:v>
                </c:pt>
              </c:strCache>
            </c:strRef>
          </c:tx>
          <c:spPr>
            <a:solidFill>
              <a:schemeClr val="accent4"/>
            </a:solidFill>
            <a:ln>
              <a:noFill/>
            </a:ln>
            <a:effectLst/>
          </c:spPr>
          <c:invertIfNegative val="0"/>
          <c:cat>
            <c:strRef>
              <c:f>Sheet8!$A$5:$A$8</c:f>
              <c:strCache>
                <c:ptCount val="3"/>
                <c:pt idx="0">
                  <c:v>Jan</c:v>
                </c:pt>
                <c:pt idx="1">
                  <c:v>Feb</c:v>
                </c:pt>
                <c:pt idx="2">
                  <c:v>Mar</c:v>
                </c:pt>
              </c:strCache>
            </c:strRef>
          </c:cat>
          <c:val>
            <c:numRef>
              <c:f>Sheet8!$D$5:$D$8</c:f>
              <c:numCache>
                <c:formatCode>General</c:formatCode>
                <c:ptCount val="3"/>
                <c:pt idx="0">
                  <c:v>150</c:v>
                </c:pt>
                <c:pt idx="1">
                  <c:v>182</c:v>
                </c:pt>
                <c:pt idx="2">
                  <c:v>163</c:v>
                </c:pt>
              </c:numCache>
            </c:numRef>
          </c:val>
          <c:extLst>
            <c:ext xmlns:c16="http://schemas.microsoft.com/office/drawing/2014/chart" uri="{C3380CC4-5D6E-409C-BE32-E72D297353CC}">
              <c16:uniqueId val="{00000002-DFA5-499C-BBD6-1619F9DA7896}"/>
            </c:ext>
          </c:extLst>
        </c:ser>
        <c:ser>
          <c:idx val="3"/>
          <c:order val="3"/>
          <c:tx>
            <c:strRef>
              <c:f>Sheet8!$E$3:$E$4</c:f>
              <c:strCache>
                <c:ptCount val="1"/>
                <c:pt idx="0">
                  <c:v>4</c:v>
                </c:pt>
              </c:strCache>
            </c:strRef>
          </c:tx>
          <c:spPr>
            <a:solidFill>
              <a:schemeClr val="accent6">
                <a:lumMod val="60000"/>
              </a:schemeClr>
            </a:solidFill>
            <a:ln>
              <a:noFill/>
            </a:ln>
            <a:effectLst/>
          </c:spPr>
          <c:invertIfNegative val="0"/>
          <c:cat>
            <c:strRef>
              <c:f>Sheet8!$A$5:$A$8</c:f>
              <c:strCache>
                <c:ptCount val="3"/>
                <c:pt idx="0">
                  <c:v>Jan</c:v>
                </c:pt>
                <c:pt idx="1">
                  <c:v>Feb</c:v>
                </c:pt>
                <c:pt idx="2">
                  <c:v>Mar</c:v>
                </c:pt>
              </c:strCache>
            </c:strRef>
          </c:cat>
          <c:val>
            <c:numRef>
              <c:f>Sheet8!$E$5:$E$8</c:f>
              <c:numCache>
                <c:formatCode>General</c:formatCode>
                <c:ptCount val="3"/>
                <c:pt idx="0">
                  <c:v>312</c:v>
                </c:pt>
                <c:pt idx="1">
                  <c:v>373</c:v>
                </c:pt>
                <c:pt idx="2">
                  <c:v>351</c:v>
                </c:pt>
              </c:numCache>
            </c:numRef>
          </c:val>
          <c:extLst>
            <c:ext xmlns:c16="http://schemas.microsoft.com/office/drawing/2014/chart" uri="{C3380CC4-5D6E-409C-BE32-E72D297353CC}">
              <c16:uniqueId val="{00000012-DFA5-499C-BBD6-1619F9DA7896}"/>
            </c:ext>
          </c:extLst>
        </c:ser>
        <c:ser>
          <c:idx val="4"/>
          <c:order val="4"/>
          <c:tx>
            <c:strRef>
              <c:f>Sheet8!$F$3:$F$4</c:f>
              <c:strCache>
                <c:ptCount val="1"/>
                <c:pt idx="0">
                  <c:v>5</c:v>
                </c:pt>
              </c:strCache>
            </c:strRef>
          </c:tx>
          <c:spPr>
            <a:solidFill>
              <a:schemeClr val="accent5">
                <a:lumMod val="60000"/>
              </a:schemeClr>
            </a:solidFill>
            <a:ln>
              <a:noFill/>
            </a:ln>
            <a:effectLst/>
          </c:spPr>
          <c:invertIfNegative val="0"/>
          <c:cat>
            <c:strRef>
              <c:f>Sheet8!$A$5:$A$8</c:f>
              <c:strCache>
                <c:ptCount val="3"/>
                <c:pt idx="0">
                  <c:v>Jan</c:v>
                </c:pt>
                <c:pt idx="1">
                  <c:v>Feb</c:v>
                </c:pt>
                <c:pt idx="2">
                  <c:v>Mar</c:v>
                </c:pt>
              </c:strCache>
            </c:strRef>
          </c:cat>
          <c:val>
            <c:numRef>
              <c:f>Sheet8!$F$5:$F$8</c:f>
              <c:numCache>
                <c:formatCode>General</c:formatCode>
                <c:ptCount val="3"/>
                <c:pt idx="0">
                  <c:v>224</c:v>
                </c:pt>
                <c:pt idx="1">
                  <c:v>247</c:v>
                </c:pt>
                <c:pt idx="2">
                  <c:v>250</c:v>
                </c:pt>
              </c:numCache>
            </c:numRef>
          </c:val>
          <c:extLst>
            <c:ext xmlns:c16="http://schemas.microsoft.com/office/drawing/2014/chart" uri="{C3380CC4-5D6E-409C-BE32-E72D297353CC}">
              <c16:uniqueId val="{00000001-C1E5-4140-9D2F-1829AFA40BDB}"/>
            </c:ext>
          </c:extLst>
        </c:ser>
        <c:dLbls>
          <c:showLegendKey val="0"/>
          <c:showVal val="0"/>
          <c:showCatName val="0"/>
          <c:showSerName val="0"/>
          <c:showPercent val="0"/>
          <c:showBubbleSize val="0"/>
        </c:dLbls>
        <c:gapWidth val="219"/>
        <c:overlap val="-27"/>
        <c:axId val="1629599616"/>
        <c:axId val="1367862048"/>
      </c:barChart>
      <c:catAx>
        <c:axId val="1629599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7862048"/>
        <c:crosses val="autoZero"/>
        <c:auto val="1"/>
        <c:lblAlgn val="ctr"/>
        <c:lblOffset val="100"/>
        <c:noMultiLvlLbl val="0"/>
      </c:catAx>
      <c:valAx>
        <c:axId val="1367862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9599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 Where do our customer live?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 Where do our customer live?</a:t>
          </a:r>
        </a:p>
      </cx:txPr>
    </cx:title>
    <cx:plotArea>
      <cx:plotAreaRegion>
        <cx:series layoutId="regionMap" uniqueId="{F79687A5-0614-49E8-92A6-D8A0383E20FE}">
          <cx:tx>
            <cx:txData>
              <cx:f>_xlchart.v5.6</cx:f>
              <cx:v>Sum of Quantity</cx:v>
            </cx:txData>
          </cx:tx>
          <cx:dataId val="0"/>
          <cx:layoutPr>
            <cx:geography cultureLanguage="en-US" cultureRegion="IN" attribution="Powered by Bing">
              <cx:geoCache provider="{E9337A44-BEBE-4D9F-B70C-5C5E7DAFC167}">
                <cx:binary>7H1bc9u4su5fSeX50IMLSQCr1qyqBVKS5XvixJnkhaXYCu8ECd7560/LdjIWJWfTVaOHo7OZZKZs
qqEmP3Sjb2j8+777132yXul3XZpk5b/uuz/fB1WV/+uPP8r7YJ2uypM0vNeqVD+qk3uV/qF+/Ajv
13886FUbZv4fBGHzj/tgpat19/4//4bR/LW6UPerKlTZh3qt+4/rsk6q8jf39t56t3pIw8wNy0qH
9xX+872zSsIfSmfh6v32PfLne3edvLtSwMM7R9VZ1b9/t86qsOo/9fn6z/dbI5H37/4Yf+EOc+8S
4L+qH4DYxCfMMhkjmIvHi71/l6jMf75tYGKeEGRSZhMY+ulrr1YpUL6JqUeWVg8Pel2W8HiP/983
xNazwEv575SXcb95KRskfADlz/efs7BaP7y7rVbVunz/LizV41vTvaM2T/z59vEV/bGN5X/+PfoF
vLTRb17APX7D/9OtbUT/B7RvV9k7N1z76p9Hm5IThi1mCcJHMGN2gm3KMafW0zzYBvtNPO0He3eI
CWDvEh0Z2JcrHWYHAJqdCGYC0og+wTnGm5ATi2JuMwF3Xor1ZIb2o7xNPgHhbYIjQ/e/CajKh9VB
8OXI5ITbz/juqG1yQhgxQW1vw/sGjvYDPB5gAsRjkiMDWdbVIVZmKk4sTKiJLPMVEcYnlmXaGBO8
jfFkhvYjvE0+Ad9tgiND9yZZ3a/1ASSYn3DBBDa5QI8XHa3IBJ8gZlKMyBP8Yhvk6XztR3lEPwHm
EcWR4fzfJA+zAxjYlJ/Yglo2fk2MsThhcFkWM7cRns7RfoRH9BMQHlEcG8Lp6kEdRpIpLLSIcABw
23dCAC0hgqInGR/p6f9OZugVgLfppwC8TXFkAG+cBbkG7+8QnpN9wi2yWZCf/SNQx9tY4xMTEWRj
094W47dxtR/pPWNMQHsP1ZEhfq1XmX8IpU1PHpdmbr9ie4G7zC0QaxuNZHo6R/uRHtFPQHlEcWQI
L9N8rcNVcgADDGIhEAexNibWXgMMWyeWbVkWBt2+uUZIv4Wz/VjvjDAB7R2aI8MbwqCrZq1X5QEA
5ydY2AQTxh7xROAab6twdGJzJMDnGqnwNzG1H+vdISaAvUt0ZGh/Wger9ADhEROdgNTayCL4l/O0
DTWER6gJazUm+2R7Ol/70R7RT4B6RHFkODsqqcsD4AwxErIRWPCuXhFpcoIQp7YwrW2rbDpH+xEe
0U9AeERxdAhDCmaDcFkdAmd+gjYJKkrZK7EwcoKpyS2GR+FsR72Nr9fQ3jPKJMz30B0Z8uBlAORy
pb+vHicA5OL+yQQlNU9MgjaJildUOcRPbMFBmYOUP17bgv5m9vbPgP3DTJgC+wmPbA7Mkneu0hBe
OYjVxoiwLfKc6BA7jjcEWcQmjmrtNdPfxNp+7HeHmID7LtGRYX6hynf/Be87WR/CVjdPwHgjlJvP
4ZZx/hLzE2JSiLvhJ2N+5Jy9kbn9uO8bZALy+8iODPs51HFkhxB2+4RRDE43fl3ZM27BHzyy56Zz
tB/rEf0EmEcUR4bwHdQE1AdazwkHkxy9ZsrBeg4Rc4xsNDLl3sDSfozHA0wAeUxyZCjfblLXh0iJ
CDDHCYFYy7Mcj9U3JDdtiKabphiFWqZztB/jEf0EiEcUR4bw1So/jD9GBJSXAL5PfvdO8hriK1xA
7QIf1Z9M5Wc/ulvUE7Dd+vyRIXsO9amHsLzsEwoRUmL+tLzG9vbG34J7AD3UHL2sHJvM0H5st8kn
gLtNcGToLpJ1doi6QCgqIsjCgoDeHUdEseCYUWsksZM52Q/rNvkEWLcJjgxWiAa8m0PS8j4s79VP
8fkHyrgpO2EcIcb5cxn3WGqh3hPCKNjiFO68lNotjqa47/th3j/MBLj3Ex4Z7Kd1+l0lD9WU9/vG
+n2IfnAoOjB3BdqEim5MERSJ7ouLvYWl/ZDvjDAB7R2aIwN6mfWHcYs5IqC42XM5wli6IRoChrZt
g/hvS/dUfvYjvEU9Ad2tzx8ZsperB0hL//MCTO0TSErDqgu1+j9TkdsLMzpBNuQ2TDzS3NM52o/u
iH4CviOKI0P4fK0PYXFZJ5Q9VnE/hac3ZSRb+II9vcltgb88tqcn8rMf3a2nmYDt1uePDNlPsMcG
tsv988ILdQYMcIN9Ns+5pz3bMDZeMOSmRgHqN7C0H9/xABMgHpMcGcq3q3sN222yg5R/8hOLQR23
CfVBj9cO0FD+KTZ/QNQ31wjut/G2H/E9Y0wAfQ/VkeF+sYoPUQIKahlKAxmC6u3Ha6dajJwIbGGb
s1EIcyo/+1Heop6A79bnjw7ZslwfYE0GtW3Cfgwunoq/ENoJX0IlINw2oexg256+WE3l6DV0t+gn
4btFcWQIf6qTlT6E9EIUk6JNcd/z7qo9VhcR4C5hC7B/GQ+ZztF+hEf0ExAeURwZwhDf2VSEAczw
33+6ewGEvTY1AKCin2Mce/JMG5BNa1z/90a29mO9b5AJgO8jOzLUN7u6c3WQkk92Ar4w2Nz8WXnv
kWxhm4wTWLofr235fgtn+1HfGWEC5Ds0x4b3OntQ9+FBakIgl7wJezH2nGscA04oFAEzm1IxWqwv
38LUK1jvDDEF7B2io0Nb30OHlYOoc2QLm9uvqXMw3DgWUPS118u6XE/l6zW0t+gnQb1FcWQ434Zr
fZBlG7KQNqKQmXiCcZ/9DTeh6pc/BUXH3vRkvvbjPHquCTiPKI4N52B1kLJ98LNgVzu0FaKv7bgi
J9BzCHG+yV69tMJvJ3P0CsLb9FMQ3qY4MoQvFSzP/7zChu5hpkACqkGe4587VQUwA0wCrQ/wyM2a
zNB+fLfJJ8C7TXB06B7E8IISa+hK8Wsx3phX48wFIVBwAIb2tvReqmn8vIbtC+pJ0L74/JEh+zGE
zbBl+HCIEAk9ERxZlD7npXYTU+Bcw1ZZqPMawfsmpvZjvDvEBKB3iY4MbZAbKMddHyBRBVlmm9mM
UfS8Eu9EPKEg17JhrR43DHsLT/ux3hlhAtQ7NEeG9NW6WR2kLxwUz9uEQXn9czXBHpwRht2wO4XX
0znaj/KIfgLGI4ojQ/gmqaG77D9vcsGWZ0FtBvvhnkvrx6syQSeQuACbjI62yEznaD/CI/oJCI8o
jgxhCONCuyGdrfTDYQJfUMAHG2WgJetzBnIsy9CEhkB1AXSR2za/3s7YfsBfGWcC8K9QHt8E2KQ2
dD0cQMyhLIxBgwr007PayWxAZwMwviHBNXadnxIuE7l6Ffnxk01DfUx1fIi/O1Oroj5Uz16oJDIJ
FGo/XmN5h01TRMDGDCH2R8VAH72BuVeR3xlkGvQ7ZMeGvUpWLxzNp2jVP1G6v3GzYfv6xjh/vHby
GyDppoBI6Lgt0e1kjl7Bept+CszbFMeGMAjQRR2W766/h2V+iDpuC3bFERvsb9Dbm2sHaqg7AXcc
WvruWdLfyNormL/yjFPAf4X0CGfBJRwdcAj8H3PXDOoVnrsa7NjusG2SQLmCMMcZD3j3k5l6Hfnt
ISZivk10bGiHZRz2qv7nLbjNyRoUNlyRny3aQaS3wqewJcuGxsAWVPeP7Pc38PQK1uMRpkA9pjk2
pCEofYhec9Dg2aTChu3Qr4XWHg/dsE0oWxnhPJmjV1Depp+C8TbFsSFcrbKwTFb1IcIuDCpCEeyO
tV8rB4Z27WjTkoaNtmDBOTRv4OoVpHfHmIL2LtWRIf6phsaC6UHatsMBKhyiK+BtvWqqQQEDxpyM
tPdbeNqP9s4IE7DeoTkypL+q5BAGGTTnZ7CpErbojBdnWL0ZdJeCLbTbSnsqI/uh3aKeAOvW548N
0vr7IUqCN+WCGDpIQVr68drZtwHHpsCeDQ65rhGyE/l5BdmX1FOQffn5/weQ/T2LWw+8Od/svz/f
7Z4IyRuPqIMib6ggsW1oALlfFW86kmAwvwD3fRW/0EX518l6r0Ztng732zmh7iXt1jM+PeLvX8ph
Tp57/VS6X+f8uatqNXs8IfDFwXS/v/s4qeFswxHpc1HWHhB/dQlZPvz5HipzqQUH1bxAdjPQVknX
0/ExP6fFNtUa6s/+fA+HDcJeZzCiLNsGt4gKBKHtdv18C0qNOCzH1IbuMxZ0unj/LoMjEYM/30NG
DHrGUVioibBMDBHz9+9KVT/e4nDeHez0QZteVNBC1Ba/DnG8UUnvq+zXW3n++V1WpzcqzKpyMzB8
Sf70uQ2/FrLgnJbNkg+nphGYkxTWhvx+9XHTiQdewv9p+rYxK5O111XXxI5ZxV9U039kqmlmifCv
U1xE9ypsMhn29BOtaOQ01PBuOWt/GAGaE9sy5UCNQfq8mKEs4TJlfjILtfdd+zF2uoRp2dTZR1Mk
/gIJ5S3axrvkcLalG+Tse03DW7sZvgRpZTskqWpJctPpVJCexiw/o3mZwohBJKnI5kNCbuG73LbC
tdRtHbik7rGMeB053mBfVrH4DA2yA5nF/kNU8ktTex+Q2V0HfnmqGM5l0/QfSIDQ3OS0kZHZ3HSE
qRmnxJaMdK1Mk9jxfCKHoXBoUUdLZJJQtjk+xYGXzkWlylkcVnxW9zmd0dhb2HGipaKpOPVy85MW
lWx64daUzuq8RLLQVuiEab8ccGQ6VRZw6aPhzhIPqfJcTbrLskzPWFP9VaMhdPKo7KRJw0bWvZdI
u6kDaXX9ukFq2WA2Z9RgUqDgzsepLwU3nIQnhTR1Kv1wOI0Iu25DdsVM3/GVvlOG9b2u+3Om4oUR
D65NmVOUeFl78QfS00z6lv2RwxvyQuZLQ+l5myRX2hQf7RB9j7sByQ4JLC2EBylY+zkl5teIiyuS
s9apmsyc5zUupejYOY74JyOhmWMP6C5sokS2WXQ+UO9z3umrvDbOfR0LWSbJ2jSCb11jfMppfdEF
3cdK2HNkG3/VRnSfiMiSltU3js59JodE8Rkpix+s729RbYSyMMUlwHTRRswtdOR65g+cWzOPwOO0
9TDPmSpdYoa3KohO7YgriXy2GCJmSZ2pbzSzv9K07J2s71Zm3cL8wkUhUz+LZVOpC9wkDx7MSKFp
6ppELXBin9V2f6rs6qExzEiSgH6ySn/hh6EhB6+4waitJI6bzoW+roHURh+5RlBz2VOeSyTiu6iC
lzRkRiStoLSkmZKPlZ3PRJ6e9ijVYlZWWX7m+a1/RWp115Vfk2JJQea+plUoVV+g08CPQzlU5mdV
9MGHvtVi6cVJKhUru4XZeKFEdWs6dYGjWV8HlgyN/IcVtZW4aHFRZR+8wIv6WZXGxfC5sVQYS6vp
eCmk78XmbebRPHYMn96FZqRmJq5voUxykF5vyi4zLVe0jZvwKHJZJhZ93paugTl3q1YnZ2Fuslna
eHiWt/SraqxoNgwgbkkAUzprK1sGnXZCy6KOEaauz0V3y/POlioIrrtgeCBVJ8PC524YFnPU1m4d
p3g2dNibZTYP3Jj784Sxq840ZZWHzoD4l9DK5gG3PFnxYG5X1TLkVGrUu0mnbpKwnueNUTmDUZ6r
vMyl0VRnZpD5V0ncfY5N+xbeLl4UwrwqI33TFfVnEYtTTc3M8b32e2mbd0rRv1LEEkm8wokSmsqi
GIa53YZ3VtCZUg1p4EC++6r1GiGzlrZOHCQXqB0W8FvidGGUy6KyvuaGnUtSGDNN4x/9UHzOI3aX
F+Flos3vuhyUg1J2bVfizK4VkmYRUEmLFsu+8g0Hefg76qKPnGQXAF4hRTS0sorZ57RpWpAQWjlW
y4NZwX3XHgzThVqKQUZx4aoKhKkH0WMDPGdAlqXfNDIMqo9RDVqA4DOE2blXVxexlWiHCVbJpLUD
6TWpkDRME1kzHrlmioeZF1drIxiquRJFNK9qEco8R1eZJ4xZk9T9Kcnw2eB7K6NPL4J4+Gz0lEjc
9fdGU0S3fd51jm7b07w0M5n2InaZX9y3CoXS0Ch3VJp9Drl9HuT5fTiwyvEJSj91mT41MvKZkTp1
vBzQSJg37+sYudzjoDbaJUtzz/Xs+jSPYHXIq3tBWlOWaQJzrUzr1pIJ8g19phHuG4kSP5uZtijn
pVeV4htJy4pdvjxid2ulvVd5r0M/eD4x+deP//mkUvj7eObu37/cHLj890+LtdocPVyOP7SxiH59
6u9zezcWyK9DfEd2zdOpza8YPb+9+SaLCKHfWURPx63tWkQbqp8WEdi2kBEGowdtqrrIZqfEL4sI
jCUGFbpwCCTYvdBp82+LiEONEFxQ3WnB9kebgbH2t0UEqzMkG6E+SECaARINP9/CFk5gCu6xiCCc
PbaIwBCCY3SoDTtpTbCx4JteWkS+Zm0UUZ5cG7j4CqdKg4DVyXfcW8sEp5mM7MEpdT1jVipRw+YD
9S9EX1y1HNZjr02LZRoWqaxBbjWrydy30BwpetuGDZlxpmqn8fsLVHmubahchri6CznJnQQnF4FV
JE5j6NMkLlep3fmyxuaDR8LSyY0UVnSrO+948xDXuHB4DKoOgZlh940lcZ8NM1geE1enVucSXlcO
q0XtmD2ynUpl/TxT/Q3pLcslfnJedxaVvV/9Rbuqc8usf1DIPgMXNHeLLsul35QxrIkU1quhlhkT
N4PAXxpv8MHcgqUjCIwWBLGCH+0I9LGfE5mmvieZt6R+Ne+Z8kBblqEkbXc3BP5lxbLz3MvPA3gm
WNFCLVNCPrZh7Da+n87ijFx6mHzy+qSagzZJJTSvaGRVNpXMY4NLMKRPU9qHjsfzL9zShmOj3q99
x2qK0L+tSJR/Q0V71w9me17x8jqnVblIcJvIqNDfOr9Zhlm8SPPWlmZtKWm2vZI19YgMPH4Z+OSO
FiWVddheG1BXOovjenCJNfizQYRgtWlhLAxVf6RG8GAlnlq0se/gOo7Plb2qulUu+rmZ26uyp2pR
a7SAE0T8mc7bVN0JHGS3CUryeB36w0PbBR8HiqoZq3PFZKwDzlcaR1cezO8lqjJ02lVEXRPtiWsz
9cqzXniOKepZ1jL7FI4OjyQKUOgEpuivaDSwUIYqbReJxb60WeuyMA0uaafWxdCQU6R8UUgNC+kg
/1fPPXp+m90dv46d3/H8Nq2FdrXc446QZ78PKtlsiLQJy2YctnkKSJS80HKQL4cd3ARBJu1Rlf30
+yxo/L9Jlm42EIGS2yjAn1rOhK54AnMEx2rC2TBw1M9btByDp9l2+2BL4qaTMeTy0Ob8dNDPL5Uc
uEI+wrCUX7GSlTJuQu1LHpDEZWBdL1jDVyUYo/Mit4IZ7ofINM7Sktfg2LCQRF9DgmvvOvBUXSxN
qDxInaiOWjTLDatmN7mpdXuTtflVTuPwk6FbImRABzaPyqH8wJMg+kYTa/jQZ72/yJFH8MwXrfJ6
makkBNt9COZVUZa+W1idrpemZ6QRneGKJeXXNLCjLpddMpBucGltl2E5J1kX4rM0bQd16w99bCzC
wovIrFK+XgjqIzdkmb/omsp2tWojcIb6YtYWHl40sY1nbVcMCxTb+m5oQEGdxqK3hxkt6953eyKG
bpbU1C4uc+YZwywzc6NcohxczrovA+XmRIE9ads6AlWZRzM768sFzoO4uo1pAua9bebJdUfsgCwK
Bj/3fqn+GlpTRDIv/DjSsgsUWxYJtD+c/a+IPoroZo/O6yL62HR1V0YfN/b8jM1gOPLQBklk0OWI
gLPyQkahFQ4c1QB/IfBKoNvZ35aIOIFSF6hegh53EIWhJtz6KaMQttlkWDZpFgjaWGA6vMUSsWGk
bSGF4+455NJh4yjEiTbDbQkpzCEISdRcXJNU9zKy8JAvNFV+9oEaWUBmVpCW3jdBif5AEy+zz9Im
zJyhERd2JC50JmInT+PvcaHO+iKRDan8eW+aKpA5TbrU0XRYZh0tZnUjPsS8/ZF4aegwzVeiJguD
EccvQ9e3igXy8wXP6FWXG6dGmHy3dEcdFqkLP2o/xCSMpF1p19f2Key+OUURuD1Ut04olCHDqF9A
bPuKDCCEBNWyDaxkXqP+tMeNlpmBv0cpll3RWEvN2V/gSi4H3d7nWXfJhU7As4dn+yrA0688O5a5
pda6526cREhGoupljFRxPRjGvItQ5pAGnxaVOm/ipHHaCkUypoae5SnLlrCDF542M5BbquFLWjaX
fMCpbKOSSB2bekZCKgOTLCJa+3MdU1jgtc9mUYtXPNbncRk3bmFCSAur+mvaed/qKLoNMnXd9bAE
G6lnzdMSrLkMZUuIw0CoJoR4DjZSy0Wt2UiVcrXIg4a6tZGmDuxBvMij/kNqxeCZFb4MSPTQpw2X
iGem1Mq744mJJfX7VUbqVmqMf1TEOMNNvWyr/iLSYIt5oopkU7LsVLR1e6HAkHB70zBkZ1cXQ5ys
UyNr/wI8zyvr25Dal6CynSZJbpIiOkO2d9uWUQWeWRyVLhxjUQQXBslqUHNh7PsyTxIV2BJDcK24
6nyLLZOSmwaYXcEi5Fx3YCYW4pIwIzhjsWoWJIjVEt5LjmYmCvMFWFfi1ou9WjhJj7tMFmqwTxur
Nxe5tszETerOX+BeBYlkmSYXLEnqL1zZ/NQYYvTX/4/q8KVis6D06nea8GXE/ylb8Bj6faT65ZRB
Zf7maBpkQxQYTiOBAX+ZK3Bc1WbvDRQLcMhYbOq4ns0VE8o48WY3JXpy1zYK9KcqJCewD49D0xKw
ZKCAQLzNKdtEobei1AKONYTGZDZUlFIoJ4bc5ktzpRqoyou67q4gxiJmTesFOYRcIxY7MWubD7Zh
9WdR12TxDKG4+lops4EQT9kVshRZ8eXF29vnIkJN25gb2KMALeWhZ4O5qX7c5sbM+jwWQd1ckSLD
V348ZB5ESZQdOGBfKCGb1qy/siaHWKVOeVU4RaRjcA6HkpkObD7NHkRVoWsYI6hdkiT482AZHC96
2/LWuDdwN/89x2RnJYH+MbBbDtqDCbD1oM/MiOOQBYBtX13RzvIhRtQNyecG1jE6r1ivLIhYd6Az
QuZxOTC7D2UfI7pIG91jVzeqegi6ssQORBQtt6xCBX5ZGqBGMm3F/sxXUXAT1wJMRBGULmQxxV0Z
FOdx0lrdLCwN+zLUQZMufv9UuzAwE3b/ARBwBKpNHx/6ReqC9YbfGnlSXmWVJ+6UzzGRZkxgauRZ
3d20nRa3uYeTJwUCEZf9EYLNXHs5F6FVB5zJxyiECCChQ+iGrRdfa6HON/PSz64yWDuucBzUV1kJ
wU3uBXe/f0AQn51vghQQ9EiGftiC8dE8yzMTQoU6UFc8R+aqaJVOFl7FeyLjPJihok4Gh6KeKyei
Vpv+T5NmMym2HxQmCvRoNuH0WGi7Pf56qO4OAz9LwytWxNYqjWprFScbHqwhLWe2Vkr2CKBftEnR
ElnEiq2rRJTLVvTmRWdTjRzaRip2Ipaln6nOCXUD3vfr3GhyFxlDyhxLKFOfWtSGKMPv397m/KQx
/2yjNuAUPWJuaiK2gUJ2bWWW5RmX4Kukq1BXpQ8rcVzBwkr7PvPP2iCMv0MsOr/ohgJCyMrsQofg
hv2o2AAx2T7wmWOqqFmHmrKHxsoDdvZ7Js2dcBPYlhQm0abbADh+1qOn9mI62ZqHSAcVvYzMIvcE
BNRFMCwgKEPFvGrq2tFdgT40aW/VEHQJmKNxtiiJzheJmRMnTor0Y55YaSdZ0vpf2ihVy76sIGhi
Fflnu4y56xWZ59QqiiBIABm8VnpRmV214MNcF8ZAZ76PwQ8xBi9LwXqCzJtlV8lHEvk3fp/RTiY1
K64qr/hUkdSgrt0QeJFhT0A3mPUwSNTy6CIJLP7VQ7V5FkBk7WLwu0Y4LQrMFI4R7cOlwXUPllbP
Bxe3luEOUXefl0V1WyODBbJNKzb3ymLj7BHyqQhwGy88ZmDIeQSx9x0apmkIXGeF8a1OWermeUmW
scryJS5E8hA2OUTYc5rGt6HwOiabwvTPtKdrp4f3sMAmEddFm3Yzs9XFHOMOQ4ITDt/0naaF1KXT
kMCbpSXVbp0L8GwNcBkxVtUpLDWkBXsusiUH//OvLkXBOdEiv7VoZS1qERlkXtrpsOK20rMSAvXD
vNnkK4yuQytSJu2P0s9zyxlIBdZv5pPGn3dVpEA42hY8wabmc7D0AjepaHqawUclqHOt4EWnDZNR
GUWGw7yWSaasbpBmlXgOrYwsXWg7nvlm3aMPLcWmG5YaQbQLZlI1p1UrykVHWXdhx8OQeB/qtqjS
VPZh0mf6IfACQoavZWt0LA2k0KDK1T3p06iiWtZVXUNov4ohXdSdiRC840bUlbdMdRjmMiKJukXM
oMuop7SGpJNIPAlZKtEBXCmkhTLPg/WwSuK2mNlx6yNHJxWGmEGBbKZO4561gdt3iagu7LKiMKNa
T+GydWpYC+e2EUTedQOiY/tOwXMOE47GZTrPklALmRSweHmzrgltx/CgygJyHB7KTDjL1QOrOhB1
60EikyXprPTAKphbmZ8ODh8s0JgZic3aSQNtgEtUgiN+U4Zgi8+UH/IfRt2wELlIkWoRmrzmV5bh
+d5ZRlnFrMjJurIY+tMSvDYdzHI/YOnMK5uhmAtdZuG8T+y0P0WQ0s0di/QJuFOd1ScLHRah4QCs
5IuRpwN2oYlBnLrwDxnX4MgYJbzyLPsSpalIlxSyyMksDir741BXlM4jQxF8HrQBGPmSBSSoFp5u
8uwWFmN6FvkDied1DhzMVJX4w4zjbhAOjyBNd5nyHqa2AaKiXQ/j+kxTy0pc36N+Dbm8BuAMWQn2
STZEdFgnMZQGuxwYSF3ap0GxxCg0T/2QxZCgj+OCuqEKPXeAFLIljVbn4ibyWsht07CIBpnm0WCc
Iy8x5zj3fAvYhaAyBJGCQS2DELf+LBZm0MrN5yQWochg+vi0cLo2hDqCqguNbxoOJejBdQQ5Ild4
yMIhlLwxDfqpT1pSX9kQa1VuJorq0qozWJL8ksVAIFLIIcy9MMDZ1wEnWXBW9GnSzcvWGsJzXPnV
JzMi1srqvNSTHMPknddZx+istIcQmK9xlLoJLeLS4a03C3FYfE3aFiyLyI+a29Ky2++5Duhpw1rf
m/EYakhkxj0Yx0pU1M0z3eCrocup+aGsLPwJVwZ8orWNkjsV7lk3a0gahae6I6RdZswvyXVoMHGX
oWIzOaOoKBcQ5grKm643K+5ASBuwCSCVnrqqBKV7DiuYuKMcwexOQUtqF/qLdWoJqSyP3EQaAtIf
Cc+EuezMqK0vq67aGJ9B391YsWF3M9Wm8NVKDUMjO5JWm8AX2zz8hvUW9BPwlaf4yrQyeIq6sOBV
gUsXD46IGxCdPIFM9IdMMxB5XYNV4MM90KkEihuuC2z2OpM0D6BgIWh1V1+mRpCXMkR10c076OZA
Z31TkI3SAGFy4IlAgXQCb+zkKkvvII8vzngTQsidB1YM86L37VWbUWCj01H/kVYdKs99MHMjyOxm
cXTLYbVYlBnCV4Xwi68QtrELcOODkJwp7ov63AuU37i9ZgVkc1hPFzmB1+ogVvT3cRJbN11dInVa
oL6Jv7R2CuUiKcQcIVUrNjokLBIoNbFhX/MsJH1QznM7FV8MBAUhaZv7hWQmqLlet8HHUFXluUjj
yHItookPas8yYTkKiLjTkdH4s4RkICaD4VGxNDOFi3UKCrk/g5OMQDbajcaeRZYBb7RrhmYGi0xb
nGNdE9vxRFI1sNLSBoHpXUTftGjEJ6MHM/1sEJXGDxVkckooaMAMsh0tgaG6FOK8jtn6tr/MAZbW
MWKothigwqe6hKhFchs1ZSE5K0/NtGus06G1AZwY4XJY5Mn/Ze9MluNG1mT9RDgWmIHNNWsMOTIz
mZxEcQMTJRERAQSAmDA9/fWsOqorVfXptlr0oq+dXZVEUiQzM+L/3T/3bPr+1EVzcOcYEvQllZ0Y
j/UyDTC+Qy3oEyYR/Y2kHY4RHJ16zBqqJwAh05hI3AKLfGxr6bJXt1/9ZMxWTGDL82B8J8UX05Uq
aew09cGphumd1sQZ8zbWUbNnKXGvs3aqdassfKSSrRZPUuYZ7t/PTbuGZxFBm8jkMBJIGi4N5nzB
dKPLiQ541KakY3Wm1ljg7NC6Ld3Zn1Uxtl6itmsCYyRrgrmOi6VaiIazrCP5aQoX94lThecabrr0
Bc91oe+7tHNxwHpDyjcJ9Ocpm+1nWGxT4mZNM8bPodfJqZjC2gSnoGqT8UFWOlW43PGMLgfm49HE
4rDMd8w3TX8Xq4H6995M2mhfzT3MejbPTn1qlDNMBVQ9nBmYxqw5tTdNLlNpU280TRpaTDMh+0UG
eN0vUQTRKajo/5B7fWJfVa/7D/Nn+/pn9/r//G/zuG/NnD8N8X/xfv6jhWP/7cvPCswNFvz9037o
KQg2B7fSR6jEYPz8GLvJH3oKGuJiSCOwZmF+ux7+6of9A0IfyjIqigKI0pBi8Fc/9BTk7EDngfJF
EexNrf570vLtje1+2Y1CgEioVcGZgpEDhfB/Wi2TGZKdTai9cGaGQ9KmwUl18zHpWpmHVr1EQhSS
m2bX9XG7fqe9ls7VLgtmPBA9GC/aa0qHDhDKcjV1cOi16Deyhd3rrkAs4saFA9OOQRYMdFM3I91j
+CR5PVTgMiZd0zwdZbcR8dDax6UePqcUZqyDlpAsxgTA88HTwWGcnfUQQgimVb4kCzvYtoEdUzk7
46iPOu1WSBKk2i5QYzPqNum+tfX4MqAm++ixqDklfofZnz0O1qdDmYiFbAY3YcWoIAHHY9oVvb/6
RdsyL/OiFMeFmx6bWJlS1m4eGs9swnk4JyEds9HvUxjT65w5lcFIQbtppyZ9drVOwfXJz2qq7xZ3
Kil8eU97JxLUx2k1NDN8sBnDUQjrPMknq2Hj4hEGd+XAAVam/qimPnqDzTZWGxlKmmEnwrhKtbtL
lX2gjf+YQNq2+yGijrkyt5M7bDV5J2m0k+Giu8fIkFRl1FbxmPlxFWx9dxpBm1XhB5TXaX9LDG5t
1zTFKrr7heszLKlD19KzJN4xMc6m19PBEVHRrzhqZJcRvuYhG75NnffATPr5t9fMP1He+991hN9R
1J9Bll9Ohv8vAZkAL7V/7Uo9/hZX+/PZgSA8PuuPswMHRBDfvJ8EXZNwaX86O/ybrOoneHslZOeT
27Hy4+xI4GV5t4Z/QOMY4G9f8MfZkYCq8T18rQCveCDIf+vsQDvtL2fHrb80QEFLgDZT8DtJfEsL
/SyANd0AjIFwcvH8UNFNmKwqxzpjvypuyzFo5oyIqtnhVdLl3E1fKjOCJ1NUFujmezeifYzFlGbQ
ngq8mS/JqoG9W4fs9SjvGodjZArhozI5Aukazabx3bcphkOgvUkfhZR7Oda5v7ILduC9oOlJN0vm
KrwKbcWxyS9rn8U62XUMFOLkFLFvQClGfd47630T2Spv2fTg+eZzymL4GE13hWHsZv3gPDmUqbwa
uc4kY5u6io4tf23Z8oYN1sKC4w9awXZSUueuCI8CQ3vJ12679D1e8ENwoWwNMuIGxzUczmNnj4mu
vg3pdGRe9OYtUXMN4HTldVedpgBnQ+05nycVlhp2/ReFrSeboNisWr3AK/tWxxzSyIDlKGrb5zl2
vtlwxA/SprumSU5LW8Oex89QkebE1uGL5r3ejFXDymkxWIQ9GW67sMKMQcF/JOJ5GaqLttObiEyf
NbF3Nydya4Kmx+oEuGlM3E0CslVW4aXxBtA/07qzk0tyTMIvPEo3gOlOE5wfYpIx1wm/doIE+djN
d4le7yadkHKqhldGgXqOnuSZBP0q9QLIpTGv4Todp0iqzGjx0SfqhOG/BipYn1OM60VnonLSIJdc
4+10hQNNy/rJaxW8doprJwYgOUV2KGGkf+vq+LGulq1tprkUvTgs2JHB8zjf52A4rlG3ibj5hD/D
HRaqLBiTpOyBUmWUm/tO8/YuncVTdNe7TQu0Gcs4Xk8F9SHExFZ/AAre8Vhto1FCx7Cq3uADISXK
cugBJ5EGHOXo6Ed4mFseNp+Dxd2mwJGyIQmPmse4E/o+KLpOXC2ny0bqZhOYtc3XaiwXGg+gvNMk
b1Z1GtJWZ1xUpgSSvfXq/tiEwaZN7Zo1qboGzXTg1PCcquWsUvzug+po1tBkTsLi5asF6P2Jdgbi
ap2KJIv6Ln7wBhQxgelQwrmSIZUPUDpEu3VntjE+2TQOLD3rVR9NPX+vwpTktG+hcsn4EHfzi47U
u2mszIa+v8Z1unVoc3WHdp8kIswhuBbDHEN1jseCtURtktCcXb8N8MMNpYxjJ/NnvuvNHJS0CqYs
beM1x54h8gFIpunnjR8tX+bIA2w2vwHjLEm6POOBplnCnf3CnDvcbVvaOPsu7bMIQYKat0XqVDsu
lk2TdHU2J0O2BOvBH8wnV6qChmA1PDFvRgG5yGf8LmayyU3j3ej07ZRG0CYEHpAXo/h2me3GJlM+
CrtnkHiypsMmIHRBWfoqOG8yrejdOKRusUqWbmYR2WxtYLFKcvZN+lVPAV4ES77MUDeaIC38YTkF
CAxMyh+AthF19KYJj22YVY7dWa2+WjVe+JwUmgdPhNUiSxcFfzYGjxaCSG3wKiQJzeTsphu3IY+h
rb7LSOPZOYq9Sesk1/G4c+t4zh0Z7gJf3FdkHcHLsoyzEPsyG0GE2dME1G52OkC2TZsHdfK59W1m
4Kfam6m8kG0a23sWjZ+IN+yrYN5EI4nLhrc4/+bOyYaof/BtanK2qktAaoCCfNfiABzYeK6i9UlC
+5eeuVYe5CQ5ZpEMoSWkS7Gu3iaKVOk7LhQGPcJnB5e4Tv4mDc2RdOsGvvaYp9Bq5EDe2wrGu/Hs
m8+SNp+80N+7cX3vdks21PXVXZO7NEESYF0dtonWCW51k8f9RPNmqHkpHJaCNgztNqXzvd86m6YF
45gmH763bjoxFDoypVaJswFX3uWTYy6LGe5NnDzPzNJchCG0BxGm5QxJ87Xxq6Woh/GDa3ukM3lp
bbfnyATQFIutVezBrl7hMfUR1ktprTuc6TxvIHs9N663gqcH6Y+AiO7Cq3KqHkmP9LMTqU+znI+T
gDOlIV7n/nDTgqAigx+kc3gB9X8MjMExHiz7Sqa8y9xKLsEu0rp5GVtnagrX6dyNs5opT+akbAnb
e2EDeGgSa4G0zLdg9G2xjD1YTuV+Sdf14irhlxgX6qL23M2sVp5VPmIUBjmf1DQnw2Icl8uMHE7P
PvXcu++RSgiabsrGHsw/1V9RBVFgrjzEznLR0bxfPZxfKkb4pgu753lxXoa5f8Lw3CDq4RdDy9ws
WaYLkCpIDmvyuHYDpmvL7VUZzsqwjfku6EiVReDL51y4/kiPP81T/5wrf440echG/Wm1AR8HzCQK
oceAMcaM9PN4oiUAuwWo8MV9FNlruBnvZQ5xK0+/PD3oU39gZZ+bHbsLt1NBd/2GHsJ6x090++8B
F2supj/Mg/96wP0P8eVbr/464N4+648B9zfMGyXaeNcTL8Ebjv004LrogEPB+u29UH7djZF7wzsf
4R2Qbm89CAP2J9YAdVMuWsbgk6I6Dpm4+O9gV1jC//IEgmBKYPJiko6T8NZR9fMTqB/CtQmXSl9I
6z81vX70NCa9QF+beeAZ8nL0UBMYVm6w4wuSPqJpqk01RshDzbbKiBwgCC7IsEDCfiDBuuYIurkZ
xr0o06t7NUTCqE7xtbq4p2XLB3ef1srLBto+qrjjCAr1CQij+eRI0mei40M+raOTO3NYFTAieNmO
npMpM8kz6cQTenLDUzyu3R33PJP1kSexXAI+9tp4G2jstcnYT3lEaZ2tqnuiXYKXpSOQTVJ6D8hz
UyWmLjUOMUiZ4jvc0Bc4SU7WeuGu951HcDhuVkl9Wm+i8RrW7yBFMNuFdsmBU5ad2nP3zq39byP9
ovwcl9Wu76u6mEYLZ3i1HL+Rpi26dm4Kb9VDOSz8C2BNcJxGfbNmOrhmwJxA8AOpsdrjzL5fHAxJ
S1c665017mEOkreQR/ue8AA3Z0iKNA7vVK3umZiRmRsxD/SzewHE2eLgtSVgWjwkPvhWU9d6H6uA
ZPCHHrx6Cq6pQ7/OXnfVXQJ5uPXbnLnU3Xiy9zLcsi4GFED+Q9Wbsm1uIbNmchEuSu48RveLZUGG
3afgSfcwNxow9mrdUvo43BMNlSRK4TSCvJVlLc34WBvi55Wbfqqdnmc9mChJ+EE38VOQrl9cp+62
YmkyAyCcjzQteiBU2QCHKRuCYTeR0csjIw94bz+EyJQE0Cp43lRuR8Damu4xqST+YaUByveXNVBf
WT/1e2907vEE/5L2rM8Ur7sDbdxXXNcnBYescJIAyMfkf58n+31Eum6jzYy4kk6qHUyrd4GXaIa1
BnctpJQNm+xj6NXYwBJyGDn/PKzpcZUuRIKebvvJuZPLgguOJGRj6grrVFOBV9P6bPiKl8/4ROvq
XdIYi5kPm5A74rFafQoLwn6SfrxvpKl3SYgDeulbBAQigVWk20d1+KwooYfRdFHW8PURX3O6Ay04
wjXo+9LUkcp/c4hGBavPTW8P3uwvOci2qHCr4JPuucrH1dpM6647aM/O+ewAzqMLk1mrW6TEZvC4
NanqXUepuudRmGaTL4u5W7ARWfGSeLg/a0MhynM3016P7JM/dGXVYunVrGF4tRvEqxjoyp5HFMlO
uydrQvYyofvYrdpthO8lk5G/ZDgWTZZAWAZ3t2a97HaBwbbhRAXvVwMDF8P+0GIlXcPA5DCQZky6
NC7SWhcmcGEB4j+cILzndZphynp2Z34MlT30/nJOA/U4xiOmVS221KmarBPVikisex5n+8z6sMva
hd6LwF6benpJGkRQxfqqK/gUDQCmTPT8BSb/IZjJbtH6ySQRcqy2IxlBIg7D/HzXaFnGRPUbsSQ6
89R8qpR/bbqlLefJLWNvOHjWdtmi7UcQVm+sdi8gKc4AP+4lj5FeGfV7VYVzZpv1taXIXQQSCxpc
rjctYqjfSwXhzBueehpglh16JMzwrAHpszQvvuXhjgVR52/RMuiVtIdHHbK++PcV/tsVHoIP+9dX
+AsgQau+/PUOv33ajzsc788O5MqDWE1gJv3CTt8CXnGKazoEQQaZCvrVD5EqgMDtIl0VoKDkpkVh
KPghUuEtrwBh/F7o7v72V3+Dnb7NeD+jSyG6qxBrxxSBcMNNU//1Cp+JU49KdfaMKEAulc1qhG5Z
Iv47xIhAVfvzPxTiPX8CzCRI5JM/g4ku/DgZ8WA4Exumzw2VTpSLuF3WHQIeIXQx09lgr3W1PnKM
+xkiI8EnnsT156HnyUHVS3p0EV/MBqB08z1d/Ad/6UewH0sdazDMXPtv4yyj5H6q5DhuuAtRYQxG
hqXYaS8Tb7VbsmHoPfi6rR3zxKkrqGe66l5Zs6TlTZ4D7tx9DdtgQi4cOYTAkqHN3QHL0qavQHK3
OC2cVvdTFrOp9y9kdMPmbmz5RZkGmXgo8IAq7n2XfA/18K2TNVAd8hSPcgcgcxs6Ub9FVBMZ24Fh
5ag2qSjDWeyrZZGF3wh2W0qKdpEfNEHwaQjOrjd8WH98bF1Ev6ZA8c9AhzUOuMaecO2rs9RhdGhZ
igVatAgTexqkuON/BECXdrC8EDs1crhljmXGWicsvSk5YS8/605PxeolY4E8vLc1Xfy8uM5r60F/
BKwGJciY2oshFHlQ3zAPlBA6WQk2Fl/CeFi8I/WsAuPPRZR09AGBWae0savKdCbzawAxEL9FrzeZ
bqwqAkctBQ/XBxmZ5EAd1z3/9Nr7z/aZv7Kb+HLI12MSBXKHp/Wvz2W5KFnXc6LOuhRfJpDnj+tj
nGF/xhbT7XDR0qIuxTYuVdll4SHY+KW3q/Lmv3mu/wlUS37zpQDyphG6KgD8Jn8aixHEmWyNsMu5
8urD0tI5b2pZYQMNPLjHTVrKsfI3yosUy6qEnOpYVQcXj1HUSJEvMW6miiwZLtI3A8tzoz3Y58YM
mD3XtxhGRcYrB0LxOn+S7RDjUpFLHmvuF/OEjJ5LuUAYcS4XP91OLqTlas1lkFS4JNPd6iMr7Xlb
xCjcTBqFJ0UKWVJ0Oz4HMHkCVDSQoZxg0XhVQ6H2MLcYoZsIAegdL+LzNKf+VtY34cevn+up37m+
ONk5IZDZBiASeKLFqQyQXOCP//VD/Oshgt8s5HQMg6jKSJEH89M/bazp6k0oAqjUmYyCb3EQIHCu
kGRwGC2R04eJJmsc13+c6P/Zs+rXANhf/80/PZrOPMZqbGp9BnrzOaxUPkNGhO4cgwKwp15WJMNc
NWSxhCHYapOFwJ7vVoU6isQJ73qWvBIGbmDUzgfqAzaDlCeEoK6kWr+GtXwTE5OF7OTw+3r/b9/I
xyP0xyP4F9P59/r5jpn+r9fy7TN/XMuomwnxCoV/5KFayL9dsH/4zng/lADoC94ABy/i3xKJP65l
NLPjDctguKC0+Xez+setHP3DRcUM/OvIxe6PSNPfWq3jX5/paJtJcX4hEXCDiuF8Y1P/ZbVGnC6E
RpY4Z6Sned6i0oRhSejaqMs61/SbJl52jg78nFNxJQlEdCQTh2ySoHIW0xctN8gGucA/kTfEgB/1
iBcvVSFlMoF+1O8gPF+AYb0NRJ4W6+9Bsyd3g2hVGeB2qwb/uU7VVriCFzUY19mDYRRK/2vksnyM
I2AgPrmmxIENk+BEUlx9InP8MQfRvOHT8Cg8/hy7t2oKIE+ZdeK1FKl8DexgC+YO0AKcacOBexay
dzadbCyQY4WkMGDDoEKeGQLgga7xxIqw6rGNTyF3imoO3oZ2dJYrBzYzbtrZnYSPyd70T1ZyMiBC
5AZ1kQ4eNrIphYkNhwzwIi4vYtHosvjlGEK4g312b/lisrRrc9FDU8Vp9c3E8fcKQ1JWsSTMfHNu
x2dPI3dcLRMY3dQiubT0j/HsNpkrvDfMFMgOpcorEQuAy9OPx6jS+iBJ9y49yhX2eNqTEh0tbp1F
IvCusqmxZ9A4LKaleSJ0LJvYLpme0dIwk+C1C/oXweL+Mqxzf0c6tuSA3krkyi9+Pey7tj9rV28F
/MQ2jQ/QOV5jjJIDslvLvo84KL2A7BG2FhnFzw0qavbyKsKiSNrVz/H9fEpqww4jamzKAb8+wH0V
BNXJFxdcRk8oyRk3YgAuk0bxMRDMYN2eJHtptOO1pWrR31S6GCFWb7kSvTYZibQs+K18Rg3ksUZv
UCUBtq3Kv8g6Bdzr7aSOriGP91W7bpvR7ihZdTGaGguTuMwpklCzd0unjXkg8MhPA6ynEICz4J/C
uH+C+LOdpuRFOAjVp0rvcAQ/Dd16pyb2qIR9ZQatQ7j5M97SIYfGrrKV+QixTuEGwRxvM8fLXdT1
5IiHnGfW8u+47bJR4XtzljosfX8Kd5EHbm6Nt/4avnkKuOpNfzW2PaGp40EAI9gvoanvfCd4ZHZ6
7xzMGfpJWdfNU5lea8qLAep3N6wHFbkvJOUT1lS+1Uzt2MIhN/n+CU28b8LWbOvE0WYwsPt8OaDg
qWa560AMlsv0Ja3cviQC01m0niFqXChKXEBBHnvtFL17Ky0I3/2BRAWp+ONa08uEYVmqCb0I7ksr
iVsSD0YaiL+cNc65IumWi+5sUceU0bR7H6tAlP5U3aUA1DJ/bI9tiw8D0jEZa7JJiX1S2zsICUd8
5FrOs+8fwFSbDOHHFqMfg5+D/pROPFDokB54lPozZ17ZhRx9UyH5WB29a9j4WafTZkrh4yX4Fvzk
zSTdSViE4iACFL5rc2P8naqH1yUG2+6JBXhzEN0lnn1IXNkW7jxBSFf+K7NqPyE90jpjlfVJcPV5
vccYePW6lMF0HU/hCLdjDrtt1alkn6phR5sYwbvmExaKu5ro57gbSAaG+MHQoPCG9kQ7ZG+I/dSI
4FExPBZiGL8GAi81ok6oobjMLVyveoGOz9m4az15lKn3gCfJobdoFKLKXICgbcYY2Iu146vwZLHS
oN2MmmD4mI5O6h4dn0Atmpx9AKeCqGCDqWsv1mk3jSgLWpu7OTVb065XGA4mi4U8+b46zgOesolA
35Jun8FsvzUTuwQy3BsVfNdAUmgf7V2fvoyaPYaJfkJHR5uFUbUZQ+goY/LeEDD/At7oiqRD5am7
xXSHbvXwCnOnE+2bI1u7t7n1H9E45mcg2iGlSpLziKAmiW0A2F9C0R9ZnHz8diX/ezYh3n81m4BM
N9//OpbcPumPsQSyPtA1BMoIRAMvwrT5x1iCEOFNaMcMHGP49aDr/3MswXutQuzH+IH347zJ+jch
4cdckuJ9QyAyYJwI/d/rFf6GWvDbWPTrGg+1H+HCBN8dKBnEnX6dS8Zh1ogIUP+i54BADBz30xLI
wuU+GqUiuel9DweAWT7FHnAxXQdflZ/cGWhRRXijgPkM4sooejRoM8oQ/j05nKgsWTEWzHo8zyrS
RZAqoBu9fV/S7jNldQk0/aEJ+LZbzMHzvQc5wBPgcrEZLnoNFs276wQg+9qJn3WT9nmbCgM+t3pe
e1whCB9gGljnPJrFJaz9iztFZYqwd4zusCZcMf2MGOxt4yX5SOctgorYdYcPIHkPdqrDQ1dXW3Qb
vSdsyVK9onVMAArxhJf5AP2zKBAdXO0qJzNaa+KBvkyufWvmMchpQ3foKeuyQcfocaE+tmocqzkb
/HMj5KFtAh/nrfqQI0W02+mhsLbJhQkFJ6OWFx6Ow2EWBlAtg0sQi74BN6zqPCV1ddZRTwpI1GuE
rrf1I/HG5jwG8deV4Zc7VIJePSC7GdXqO4U9eeJ9uw9TB6KhNyxb2unkotksyjie8KhZCs+7NnXe
CPT7QQanGSTcaMtG9OtECsRzMMf1ldRoA1sHXmeyZi1MF9ATCOj0GRN+XZKl5Tvfn9vSYQzxcHqL
3oH08aMZoDdkUfDilYtzHeZ6G2i2CchQbYLJx2whDGQIFASWnc/vgO4dV8MvTefuzVKvBRPJR7Xy
KOOxCEpHM79Y7MJLt4qXbWPRpUg4OgNl4C5gBWW6NTxC6Q5qMbaph3tZ1ApZOgQVHlANk2ztrbED
Qg3fEVJVxTi2PhZa37m26CTJxIqfVM5RlLGIRJukRkEaXyYU1fX1UDqIPwDTadghhMS+rT36tHj6
3lrSldRJlqw3w3vfasD8NELkBt1phyGFdFu7t8joevsVMa97m3TInztkPTKNa3m3WORjvbnuM5QU
uJcwgQtFh7UC84zOQV+BjkgmTGZ0CmCaxZZ9g2IUgz+Mq3KshbMjBvNf2N56AKDKg/rORNqpDOkg
kcHEgHbFp6RQGPPzaOTRdXXnK5/tQzSJptQex2zfeu0ZaTGzQ6Dgw3Tru3FHdIwMuALbtMWtCDg8
9+eoaJWM9tGCISJy4nGbVF3w4Dn2BVUGximIsXO1pd7suhmzw9cJ31W8OojgU9Qd6oTKrcOWJ9eZ
4LjTOsrJmB464QFrmhYXHIcFoaoBNyBfiHBUXbKucw5OQHbM95/HWwwfbOyTQC4/5t39FOvcceKT
Dt8qpPdtH42vsNG+T8j1z7eAf3eL+ie30L/9Lf5/KwJgt0qAuiF3Hv41OtDjOAYfEkGa3F3bE5mI
m41p/LLeCgYYX5Mbi/UNLTDIiAix79FGgOT4nQ0Zgnu3ooLuVlnQMBeAx0jDYl76OcOYHSPbLPbd
rewg1n64WW4FCK4UF+vUjy2aEQgaEtDlgFOQDGMRoz2BoUVhbjBo61uxwqj7euNaF3yuj/AoyheA
3cF/vBUytGhm0Mn0yaJUtYid4B4ET4LyBFQ4JGGIj7zVOthbwcOApgfLyQ7MfZePkB75rQyCpaiF
4LeCCGdOCzOr7/pWHRGOrEDsLfoMJFaEZY+Gic4zX3s0TnQ2fAVqH+6ZQKGoWt+x+SAG1887/NDt
ht6KK9CBV7RRfKZotKC3agsPHRdN6vQAJtydI6PdMmFnuNVhOGy6opf1rvU0nD80Zpgk3cVo0HDR
pOEEclsj/obHFP2oLv4//EITxnLN7IdmMXoZJlOO/bI3IqCljdvcCZorIksO7gKbt/5ypKa9itQp
XEafWmSwadTtYotSVSsYiAyTIy+Cco1KY/qDGl0hksnaPCFoo9Cpl8MV/15ZYDa4x5xlC/pQJ/BR
gQvVUfdAmFLlv2ej370USCz/Wrd5UgyizfLX6SjEp/0xHXn/wMwBKBR1Ah6KmTAC/TEd+f8A64vS
u1ubDHTBH6OR+w9AECmmFjTp+eAEIRr/v9EIf04gsiD2mBCCWuG/MRrBzfmzwwHFFGU3BJU26LWB
p/PraIRlaI6k1OK+c4cgOME8RdMoDHAiICUst2aneR5RWNLGw1c5ire1X+kW8Nlj4MDB8+P3BQtM
Odh6pzAoyYEhNJAgf2iD+EwMeuwcbmH3Dlhcqz4dC5BVdOMNoO2wPZ4d+Jf5OFJcU1V/0Yv55kTN
kIXp9A0dTMgj9Tq3KU6yPmHHOVhb9ATzkzPIe0X6sOjROnVGjHJEdQz+Ll7UN8wicMOteh+Z2ayi
WbZ4U8J3Z3Y3FLXCGUDjXRybc7c2EnchrbJQTp+nxHluzdLmvHEf/dC81pC44D06ydYF+nyp4Vmj
MhXdvzZsFMKO9Zc4XvutDkGJosTmiqHh0gco4aGr94jdHfE0y66zRw6ChN8DI7boy/miA3YMPFhW
ynHyOfGOyIHio9OdIOrV+mzfzzYqUG782uvoNeXv/tQXJPC/6jT9qjx9USv7FPbz1yZIRAGGfC1Q
gHTv4JvF+jrtBGVOxpEcRvwM/TZLwx4xb5zt4JxXX1Y5J8hBLB5GhlAmAkgHBN7QBaU8keDeCaf2
iMRWnYUOYuj17B45jeotd2y0kTXWTmlJmegZoXPn4E2gfNEmekh6xBBIKi7DEqT50shkr4bO2y5m
2iYj7wt1A/GGpU22TUxVwYkYy2j8v+ydx3LkSNpsnwhjEIEAsE0gtaJWGxhZRUJrjaf/D9jWPdU9
4t7ez7KMxkqSEPEJ9+P+uDY7BAhayletSaebHp5829oAdr2RandVixwrm+JU2xpiK25KCH1JgiqO
QdTYDgF4vxkhhlrvM4VFXK0r/pYHzXcHxlm4EC8hl2JRn3zESn0ne/MGifc+iBFXSj3eirh4zFqx
cxZgTTLLxzauVmoWPDVF+8kuUEG5qxcrs5MMXConRCQwv+QxQ4+A3bdvlc9K1zVe2gyPitOW8F2p
5OZUqdZGn9xPis4MS6eSwWP+lTVK5kZFeUa3dk0Ew4J2GlmqFBzrDHvWoz0WV2sAAKnEtc3wJWL2
BauWqUbHgKwe31u/jD21gYJq1MzujCR+7qCrptGj0Wopd2BkrXnWPCH6zsXG3m5zgMMrc2CcMGo6
dnKGSItZWOQAVPGnGh48pdupj8P1lFezZ+nZJcp1FvrKKF2KFRYGwbx4196TsVKXe+1eGAdl+krU
KlspQX0Hl3htTGPsAS1gvVY8qdL6UqlMqX7EVz2rr07jwMpNLyVkZx0e/spslHAtpxC5Q1bdhV3z
noo5W0XT3i7mg+gchibayGYCWgmePuHW9vSlN/Ubp+JxKNrbtFTObR+jVslbb0bYYDj96Gpqz9mf
D5h4ocauOieELd22XzA1KTXGQYcYbL1HQCJpDtEIFRR0egE8ZhxseWipxlcNgBY3jcULb91qJSe0
Nn0qf7SaLdjp6pHHC/nYKDVdVtN1m3DuDy3jXlevgzsZju/Ic1GGCxYlcO1SjOOt5jai2kkMNxWe
AbcNx/vWrFCjxvk6HcPBq5Jl8pSbNQ9dwSNhS2jBWBqK0b8UC2ZbdP7oWlRbvi+uRencO77YGeNk
uzJHKtFN6Z1flhfoDtUmaO30BbcS9MyhPylQWN0uXR5sM362pNECGh+wyTsApCn7P8a8QB4uok0/
5Ade6HeTKPpdpWbIS/XuthS9voogifbAWrdwKJdqzkASJYsH30Zn5EvhJlV6asL+NmJztNJZ3vmR
0YAwqLV1HqR8b9/fm+C5d3PefSDRWbremkYhR3Ek40pxg1n5gqPIeRHW0dZ2lFtc4R/S4NmuUstm
qLrQz0cQVbk/5xeVdgRiVvWi2ZnvgkmhiZtGSS9LExfaquYVvLNxk6mbOFLbTdoWHyCMn4FDC3fw
8w2sZbarXPIVx13tDobBjHhUgw1jCP6mwAb2DFR3TiCAKIQi4aFhU9eBGgqn5HbgTHTbhTYemQjC
TMsMmOrRpnYsR70OisOKGXR0KpV58Oj6z5NiFABjwagH6jCslEQ+mu20xfr+0ywWaU/5OWr8d42I
X6SEAj7UCrdel58QI1RsUOYz5z/YD7hfaDT2bVrW0F71bp3YavFSpXG6b0BNGzoPfpobz8okrm3U
/hyqdOP48SOHvXqMZJODkXdQLgVXBPMPTO52htIgBQj7Bf2Bs24Sw843DeBceIuLHj0/jpXe0y3r
RzQWipfVBZSGopw3U2HfaX5WrU2Trjufx3xdlvhX4bn6e7We3qXCzdCGvb7BvwLa2UpWtq8coiB4
r8G5B/gSVmNcbosKCTIoxZsi6bVVwVhgrWjmj5L59qZrIyzedIhxJW/UTj4VQm79Mh13c2B8xepg
8Y6lsdN1EA32mEN2sdJF/w7RVi0mbr9YA9ceTQ7KRO1VMp9xBJYZdAkZ7Hbe2sgwAi9Gw+lKJX5X
IdMmEVPYNvJjt+rLY9TDyhZtvYU1i4/dAAzRqckuDtoRDpDBedciia50P3eRnqVrBmM/w0AZVwC6
600P4xHWdd97hTq5eOeXt6p8xrWgrYLAN92sUh7CenisHbwPeeS4KDto8DQmQZ0NFbspKk8X4X0r
ERj6abvvgq5xM9V5FHl3E6QsdYymHdZZSbNQSZ4nAx/VGAAH1pN8r1A58UDGKoL75qMMsiUDgcce
PaPaxLtKIpvE8/A5lL2rlPJLqviiDLgtVmb19DvJl4XxG3CV/qOf6iNYqWE1WeaPpre2lY0mIg+0
g58bOVNgZkWjTJ6DLGvcaqx11+6ki/QPa9WHagcnCgNBD08LpXXxoTRrzS1Bx130iNluVfM1O3kN
FJOWf4gftNpm5NQpd1aGm0Nn/iuc4Xmk5lrJcC4hwxf5umppLicTJw6ke34dUeH/Hmqxxo5ztKvi
xranxfsEapnn7kvqFm4eDGbrIDE2at+9lD2Pblhrt3DCa5d74WzIqF2WADSESXkvI66RaWkG5eXI
e7rOz6Oo800txUGz2x84VHCHRe1zNUK0yzr1cU6jwzilD7pQMm9oeKVa6kffs2Wy0c2vnNYaPGLB
TmVTb3J1hP43sXF3SsS/rYw/HWrjsAfKXo7555zVeP0RCQf1vNd1VD4g+ZEEP5Y9/P6GKg8SBnVm
xZ0ZOoO1hajKD9lZW3Wsv2RISWcVIwkI1HzMwdwIg1tHX+0zLQqT/N23k4+47a5CVAfWZJoXYKkB
osJJaVS7qbLuxlBbj+ZCu66K+7FxdqVw9g5In0qNb1q2cVOkYRQ2Qrw/SxJIf6rBU3QRjGsTKeuh
ibXJrQJLT27TfJYvUxFJ+1IpbIZvU7NlWDDZ0u3MUvkNtvS/+bxBx/ife9BFO/BL0u6/9qLLt//e
iyLeQzuAdcLRVZu+knbvj16UppOYX9IC0eEzIEB28LuAYOEW8z20iXBHoAf+0o6Kf0C0W9KBgSDb
3/P9v9GOLs3mn3R9SAZtE5MreeLI+/SlWf0FllVzZDU0xsE1SANEuMdIhP8PmZP4pvf98zMWZQyu
Vv4jSUkAc23pxn/9jEwrVKdMpxGwH2OhsMP7petxvbGy8TwyIgSuzTm4xeYO51cpWcRrNLT3OrEU
hWeTZHK2agsKGtP16tzVCnCp7JsdLKWiwp9CBBF4aqkhHWhAJhfloJa7JIRAVDMI3I4LiZgDVV8P
iAW3dSiqNcq8eGtI1nx5L2+gqUFNhhzkdQvdOFKCVF8HdREr2/wbgJzXc/gFx6nfGFrEbBlNuqqs
nXQSeuw6Kf9a08sjYgDOpRr3JI+wUS2rsbptmZqDKpo3M6cts7PwxSjhDo1hzZ6d6oOX/97oqy1S
idPQSdrlVrl0Yf9kJsZD5TT3dTKfgrx/kiZuUltWvGgjceJFDqaqOoVhvNeCINlrdQdYdpTHYelO
VEyLfVBs1YjaXmW8MBfTgXXraxnHk5umGOSWoV4dyXjn5CFNkfoRyoQhWEmcjfDFTGmlfYZpkXqT
A1wZwcCqdehlA0bEm3YcccEa/nyspvLY+8p2zBIIAlGwzVKz9qBzUGviWxyiczaYxto3BP6JsNzO
c733cX2FcPm3MZ4nL1CSfT2Dtg8I0cmbsV7XYXZf1O0xNNguUO/JHzBkGneiX3UxKW1GECKrUYvW
QgDLV+zcQ7O4H8sK/2/OxDTGmZvA+aGSplEOYvPeFJxPxii6HWp1k+LW0b3MRwiuTu25kvhA0LDs
+2SceLern0J2P/Ei21tEDNnRcDKkJmFiRrdlzhBAG0Vkuhq6CVS8ysFJYo1pn/qDQms/S+XSatZj
GyrblJod71ZNyIdNRQPALbNv+zzfOLHuxbW/bjTFzeSQ7NiUb22Ukl5l8Ic3cwsaVv+szYxVSpNd
juO8zbI/F2prMIseD2aq3sz8p73Gjhx74yw0thQKZDTtU1HGfSHmkwHSgZk0U+PCng9WNtsbM4ad
b5mPlGgcfuNH3yUsIu0W8UZyAq11g8xVY46ZyBW98Gsa6K9Lpq1XD9rJEXngDuJahbuJCapLhAEj
DRgsVqg82GPzKJJ+PQbJ6JlhcCN6ZDVqhG0DfvKxLZK9aYFRm3vtqVTCByyvj+jPMeUMGysov4Dq
HCpHOYyjOq+aWB6q2NmmkgrTthrPKDQUHp1o78QQH/j9jmasvhkEG3EipshPCiQuulHGl0yMyW5U
Mv21GGzrpbELrOfjNPnMHfzkbvQxe4yMh9eEWNUMlNvQqxT4DXHKLits2RJWOhSLgccCn6oZXTox
o1tKsc8wE2OAxhOGUQ6jptP2a7vy7Y9ZEhATmvJJaVhJ9I28QLfzKSFLgJ7CabiZ6Xn6qUuPEzpi
akLzrlVZZJJFU3lBX+JK0uIjk+n7rExYpg0YeHpgmBuQXjQp9zFXnlqDGYI1UubYRirPPrjj9Tij
tUxk8SGCGFg0CUY8cmiPhPkAWxrNZTwl22AKTqCgZ+ij/m2ytGejw9yPDUesV7ho1XtfcpWN8q3p
kjU70F0ft19WPVyByceUlLhmjCF91WM6cGm9LQixzmanINhL0GrFVIj4fdi0TafGN72JMIk4he5c
6T8xxI/bsjK9OO9fe8Pf4rwokdt0b02LurHmMifDRvetZy1vnoCOPZtagYN3jO/HdDrlzrBrK9RQ
yhA/B+EEfIlHdBzPvZ9tg8wHp5HKu7adr2YjX8fQvBQQ02zRPw/QE7QB14s19xuwdrws1NrlahB8
lLxRh8NSiiXzKNOEeU8t29rRPmhGqisjh/xpyntt5qo1KeqtILceqj46tIZkkxSpr5wEx8pnu6pE
+U0Uze2uiINnkzJuhRhkZ2IR5XXjKR2jkpzfPgutk91Zuxokk0ZwkUM15oPCLO3kapj2DkkJJhqf
zCw9eVdsxTOHaAeHdMAf4r+rbXLgb+1FNH4rWLSMbKbbhjLWjUVzgHK3q0355iPg6ClRRdvf4znx
kAvOmwYvzyqLwhtVjF++OrBeRMWhihgFxxydHTMFSlA9ZHk7e0le7PoA8bntZNNJoxDH9nbCnvsm
/eKo1jRgOgJtDMDsugohhhuUj+hW68CgN65fcjWEzqjaV5XQAZyrVXVssB0vM5hsQ5LfDwTl4G+I
DHoZSsn9AkpuPbHQZeUYpT9HnLMMvOBAIXbTz0D5/N+EJP+fiNmlBHEw/8PnYSBJHsQS6/lrCaIl
pgaNwVcucfwok6fE+RDm9pcS8N8IgBdN8Z+rnD9/xF/G+hN3sUw6PkKtmJJa1668jvHNf/+MRTXx
r58hUX0unk3AJX/+NXS9mwB9MFdgyMfL8TqztRwfFMX77x+zmDn++jFo43VBZg+g12+Pxi9FYcDK
0rCSPrh2aLoqgBkNNEmleuzEzcDwQDb1ajL/10osECuU/Vyk/9xKgBJ/7z/r9+Zfm4jlG39vIpbQ
yyW4FFiVgQhXUKb/0USo/3AcsmzR4LDx+s40+L2JsP9hokyGT+NA/UCNg37o952W9Q97UeawzIIt
saCx/s5OC17On+4YZMg2SZxooCXWIB31/V/aiDyw0UX0dnFVyQLblchgmM7Y7EKHY2f1E4gmvTmN
Hdl/rFDwmI3dTR4LFB959lHj/fAadIB46My1Y9STGwzSIEsyrFy0JuSuKUyUw9ZWEM/L2VOGMbtB
Mvocmrzq+9owXCqHI8zIU22KnV04KEiUcEtx+uzbQcHsBRlqPYGGYvjFy7U9BBnLh0SYh9mOyHkU
1pkH4TEwS6ZakX1Ll594eR3hLK7fdcatoPmCpz5jajKAcAZausxt+vksc+t59KlOWVq9OGnxLMf+
6CTaabBAP5jZubWHkiCA8DGvMQAoGjhaf1iy4+7yPN5ogfKqR6NLUMEGE7NFDlZ5Im3xRbflxQiz
eBWa47ZHrLjipnhv6TRW+ZiGK8Vq15GcwxXcsJQVBVPZCcDB2rZziEF9P0Ekzq71wNIjD4xdERK5
OQ7dZViMScE8aFszaTexrDDb9jHEHuwfij7fGL78Qd/1kHTTZrDRDRhBfoNWezOF2T4CbbmiiLqR
nfUYVj66YDG9yAhGWTSYpcduNXHTPCo2RjQ1Xq5bKLjm25qh5EYL08OopZ/hjFLRbvVHyTwIlCOb
Elk417i39EvqW7vRDu6riwj3EoczGOSjnOLYxVC0iayehKkKbGE7x+vWaHswhvZLKBHvdFWur9Ii
2pInxnIpK37AACm8uGXRoFfaJrVBkTDxnNoJhS1dASaVD9Sin5apfyIwC3ZBJS4L0HHsyYyYsI2s
4ykVT4aJ3BogOCoKP3KLnAmOKfepqUFJDTe1HWCPBaCLrBv1tB7IaWt/50/lZteuh165jcrhJwPg
oXZNFQibitd4rgRT+7Y6CKXSMdyUO0cuHlcdl1luWzY7JXunLxbmgkUUdeBDpBZe32RrdQG+cety
HznPhdEbbriYoVEyVevICcbfJOL4PC2UKdinGWAT82qmd04Pol73iUDEa5078uT3jcY0Dxt2GsQ8
F4xz13Zc4vNd7NqSJ31D8CjzPBiRx0kn6hJ3t7HYvFv83nbNUmfBke+Z9IP/aQcWhzOuXYF8nCzW
a1HwpMSLiRxK3I2PqzzMVNUrF6O5xHGe5vKtxYHeFLeREOWqxpxOV0AXJ4vL6KcAMzCwO3rxUzQp
mlis7ZnIyrVFXIinjErilYsDfjArStGKHimclS0G5Xh+0wMs8/Upjvf0+OuowPJU+dwGfea/T4vX
Xp+qs7+473Ns+GMpdrkWKkivwiclSD6TjkdGzwvubUz8jYMAd3H1EwljALpMHwB/fzmL9Z9eG6nV
QgMo8mAt4J3j1ZuJqg2q/KToo3nW4AiQzUnER0/ZzI4wXlvO7HvjAh7ofL9wg5p5ZDj0575ObEzy
zCBTJ7oPa+5mUwTavk5ZFwqfKw5eF0j9NN8Wfkl0yOLOarJ+Zs2r3BlV3SFY48EKZ/xjygJOgEuH
wBcRu1dULF1DrteCWUigUWPUq24zYRxTSAyqrz74i9FX0/uDv1h/jXkeI1Z2dR1f0f3XL4ljNsOa
rYaM3aaLj+iXAdm1vZHpeNj9HKxh1LzaThCK0/dR+L/xokpx+F9qAibTzfu/KQj4rj8KAm0ZEKqa
IVgKocvjQP6jINAJNjPx8pA6Ir7Bln9MFRlFaoIv/VPJ8kdBQBwk1R4cTUwgCw7kb6Vg60tp8UsJ
SUGAYoZVrfbtTGbAuHz9lxISgyGbJ8kaNZlLi6hmWWTGRx8arX8Fu2tkGXpeRd/Z/iLF6sL7SQSC
dlaUHBsdIgVfsp5Lq2QNNEl4jZmpO5U4Hc8eWZR3ffFOhlrASDt6n6tm9DKDmIy6AS5HdA4PfHwT
V7BmAwhgZdYgKLDh3drTjCzQQTicdJqPbyXpV4OCOCKs29QLZXvs8tJhrBM995q8jYx8K1P2liCA
8n7eRhVrmV7NVJgJxe2MeqKQxZ4XIEbotADl3dLgO+g5GNLM705c30pJynCHWBGHv36jq216ZqRQ
bIBc557upwUOq+rL8IN3gD6tmyloCqZPDm06abNa9wpLszRjGaKL5zIPYEFQTexEQ6oAlVUJsokm
zCgotGYkMa7Wj0cofvFar+fPzvY3HcIMzRm2mgVds0Q8YzCQAIOPgLNHLMl2o+6Nzxb1WjIANHBU
OkPjlKNum03g+F3AmCQkNbZHAWcvUrg0LXcZ2rixiB9StHJtm9+WtXoMWYtB1V1Ag9ltzyXtFpmd
OkZ1vm0JNd7YsjxoZvaRNyFcEMs/IeM8QUpn5/6ds0WxWt8iRCj9N9Z7jGqb71Qu8ExTibkMWV2g
ElwE0JOmVvbJD8BW6EHrAXxx98Npwg32PSZUNl/Gc/PJkdi4MS0wE6hx107hReQw0agcsbu04dcA
Qwp26PSKre+hncdbrdfejLo8qMX8StK240rm4msrED8jfTwMajC9pWGVrIC7MiBFK2D3pCeYKpAJ
s74FI72zgGKdyHV4mCJ+LSisTDwD++qPSASIiQTaYHpdiEvKTKSzbuWk7mbrS4sLARS9fepbiNhZ
KZBOQGhPAryzphIRuEB0RamZXk12jKsU4Y+AwGI37SbAX8xfEBsHW11pXrGZ7woeGze385G5I7st
q5lheRA9qkF/HgfhQzRRbiZfealb9SBLQ6PNjx9NPwzWNpABWC6QNAjM0G0CU63EgpFSHHLe/qsQ
+n5X4XVjSvzVhO21zMR736DpTaF4JFN8sXX1WBrYWyjnjjlRASt0dj1jCmStYRQikuqHbTWCgW5D
Di/dSd/zxH6dyYpnZrxXm+DVSIzyflZYyymhzaZcNx+JwLofAfMwV3ipQhHty9DZz2N19AO7PPpF
8yKRDxMuc69IuQ8N+6o4zW2oys9SzJcsq3dJwb05y4kUYy3vPJI27voe+S1w8qCLtnUcOutkdACE
9aN8a/pmT2JYd+fbIDajPN0gcT/Ktkn+p978rd0VnET/+Wi7b9/zqEnfu3/T7y7f+cfxphL8Jy0p
zO9Azz8RWwFBL72ssM3fRJz/XJotWFYqdjpeC0vMdyv8z36Xo5JMGKZAEpQFfpS/sTRDD/rX442l
nMqPwEnKJo4crz8fb8zpjKQe0+LaASCdz7FemvGFNnsJyITHeoPuo+eFnpoXE+VkF9o/RBAO61rP
HnotZS6nZadKr1/TqTikTX4XQXRoFeRvRuyfEWSfwcAlbm7hGTCo3esmOYXq8DzH+ed3/l3R6yR7
MP69NYN5o2WCThE5ZsfAFiFDR2Haxue2WwLrbOHVRp9rH7pCGUk2S7oZArCkexC3dXRg3N8GW+jS
9Nm8lDl2s9LAPMFwGOqi7Mu9FVkZGZskqaf2LB4Mv0WX7qMe6Dznu+irl/ovXirB7rso7H8rECkV
re+iMf0uIHHhK57T2HW8gwzZM1iqA7Va008xoU2H8aOTpKYMaf5slTAE23BRM2ItLiP5DjUKTNdQ
4UKw02FjdMU58tXK1RklA/mK1tVMdx06xrrwceKq/pPCLr+1lLveyty8H/Ziyj3C60/jYF6dXkJN
KOXSft5NTfSO7vWYdjA2i7Y7s7oHB6SUO3tBitaOdtd3yl5qSMf86mIv+wrMOZky7FAkAE/Ndqwl
T6CzL5k+Xrqi/kBrcOeE6U6P5WOCADc0LagSwVVitEVoVd6n5Yz0J/LSUt0OZnNXt7bHsmsfS/Gc
Lbs5B8aU3RxS0iZcOzP0dex85Xg9RcpYYOjWQ2FvRTm7WtGc/ai5cZL2ldB7rB62VyrocazwMhfZ
lWiolWPOxGmJXTPqz/NQnHs9XuFDunAt3TIeNmSmXZACXxoD+hS2A7xpB7C821Kqb7oJnj9qz6XR
fgSFTdvNpQ8s50HQvKPr39pyPGk90orOUS+dTgBNFV9qiX0ZqU87K49maOzTeLnCHaGuSbZvtIWq
aa8cv/p0BKmJefoMk/exUEPslsrGL80TS/MN2fQXNe5TpIFMUwTrKn4Il9gAhtUa/et8sC0GCGF7
Ciw4jhE4yDHcQ01nvDDVn7Wl3/XOeFdPCS7toDdvLZPNrhzCC1XpeTJ1xiOpGu9R6IMHj/TCwBvd
8/cyx+qqSvM0aNxSHaEfKUQGRD9D6ZWN83MKxos6Zp7IDHCowe1YEYA7lhDQWat6RlW9tfHE7WdI
EpX8LWjiaaMY/ttcp+fBGZG1Zt0D5RZATwM6lGibtV4QxqJBgV4ZmbBcJaxHt+yVfK2H2tkX4k7U
LLIUwfQlHrnilCc3calsG4FtH8HvjlhcUHaNFW8gnZ7buNsmPine1ELqABqdu4OrtRCynK65qQgu
cXPRHHWD6Vk4NdTMGEb95GRUCuJrVE6I4UqdidFQZT9Ya3MxZsXTBzAwsU9hEbW4tFN7XxAcQfYv
C4U8AYoFZwS0Vty5BdJ3Vw9NrHdRecoiFnkJLM5ML15aCxvbpGfooLL50mnGeUyin9IAa6zYQFZK
1rNjFDIIifs7metPbP8PCjhJW+nSDake6H6j4Ww66GF6wRuA3WzpOsTTeXrlk4QaldUm7qZTUeFY
l0Z0JV/nsZdopMJwfAikyf1OAlaOTatnA4PWS2OIkrHmquNHqLC560ShAz5WGU5zYaRHlnuJ+7+2
9nvUvfgp/vPZf8YN9ll//hvrxvJ9v5z8DKtxri6Da934i1zGYV5tMQDHpfTtOf190g1vA18r+ZG0
wguf9PdjHxkNGhr4HGwzloLA/DvHvmUygf9zV0uuwzIvtw1DLL33X2gbWZkK5I7MZjOD3SI525Bw
VOvVsoN1YXXPessLf771J0AFlbbWK/u2a4NHaAYJQSqW4aJXBuEyneUpDpQfxpA8ZqTWeBo335aQ
nw/ZEjM3DeTKZNgNA/T4ZVdsTK323RAfnqur2puS9+WH1qJ0MBiUrWMR+Zs5jHdDRFiwH9SHnBS+
VWyEz5lZ0Mw5r7PSrtLSRoAbVe9TnBA0YbxDHnhhMLVwEMdF4b2E8yW8oqtlwINgHkN3/zyp9hsd
T3TMS82H5mBCEijjx6RL39TJmgEvBHu/UYqNtOkZK/2NKeUFJ6E7SeueszuZ1XXFgn5lxsNjF0av
dqRAXyyem1oJDpZeUhAIN8v7ixarG1ZUl3GKLkTguUCaeKNE4c+ibK8BYRBw/oaLA10R2qO+F8Um
rlpwg4Wr6/dBda6tTdkmr8A0qhU/4rZp8LpiSfRSAQq8NWugi7FuP/oCKgBmzF0vicmCZrGFkXSS
WTEA12ao70fL6RrflY08SZrBjSAgYon23VVF+rNWkJG3egN3ola3NQN41+y7mwkrGvh+Dm5kfdhl
6amjSBzSnM9LUySEAc21RWEwT4C7VHkK0X4WTQyv23dWbIdPQxtd09K50AB6MjZx30zxaQhCsuks
D2Fyhppg8VKqJtyIcKK1nAtsFcs2DmcwyEWradwoglAfWbT1UwQku83mG4SQ78j+9gFqh03X4HJQ
UTToIDkGCzaLhZFTVsaPSYfaIqr4Ll84LiFXTimNRxPAS7WQXnCi26cKAHVqF2cUw2+ghp/CBqlr
ZQ+etvBi5oUcg+Q8RqcDTSYBK8P0kbE1oJkuqln8L+yZCAiN30CjSejKs4VPwwYZ78wkIa0UewOj
H9GW9hfX41hAFRBIOxIoA6aWqgTMZauyZxQ/QSIgIuAt1RCXQCgoFlTBDLPAb9qTioZVX2AGKUtx
G7pB3AR7Jwy2csEeSLt5QLN/j+QVbqPcq3lx6OAkFHSPiRpcFfgJORwFCFv8UefhJCAsLOVmtyAX
ymS8TbN+O/rRSSy+IdgMpVMgvhIbE2ZDFQCyxae8qifjWEJ1GKA7ENhIOPdMVFzQvgwLAKIR84bw
zGu5oCGm2TrUsCLMqDwCwtiJBB3KtOAkYrgSAr5EUFrXHN5Es4An7EC/b4rmOcD17I/xmf0YkPrp
LldT5lI89EmKOnuIntHabc0AF7WMbHgkjLIW7EVktcgSAGEQx3orIGMAFbzNFlQGtbgbws7oHfVF
XWAaxKHBh4evQbo4UoAetM6C3sjn7KWDxWFBxithc+jjzDQbWgfKlDfGUNtBGdYtNI8UqkdeI7la
KB9NQF4L7ou58V+ibxIIJl+oIHoEICS1F1aIvWBDpgUgQqUzr2uZHqH/nwQCuXGBjbDzOBLXeRVQ
SPwFRxIXwXlYACUE3i3eM3ul1OlFgWFSFc4FcikyvWHcZAvmJDK1p0jrTiP8EwPSibbwUJZLaNjm
RwkppYDti6/hyEbueYSkYoCdU5EzhWQrrmtYK/oCXYkW/IrAklQtQJZaMzf5gmjB2vVWwmyZHEq0
FopLAs2Fem6Alq49WVI9VPjK0ep5+HFusT1ori4erKBbIyD5QDBzPy/AmHxBx2DXvyuZ+SkLVMYn
DENAmdFKubWgzogFPxO3UqzJgdN3CTJmXQ8+E+b8NBSL4wghDnRJyCsa6wsVto21QG64KUpXX8A3
MlB3DSScBiJOBRlngpDjQ8rBpYROBnZOPkRbfueHYEqf2yrs96O4wcGOiwzvTUzj1GYjUp7iOoDl
iRY+jy37nQKwp50xojWYxVMNb5nDn0a7KgvhJwT1A7X4nqxbYgnw63s20eirXhtuS0Oem29UEIQk
sEHdQhAyUUnz8gcrpOdoF7OFNBRWhA1UswVzsufpnE9VZCGzqPmVgOQS/jdtrSB3bkhTsFdZ2+dr
APfVSu/R9wQ9vou+yz56HGMwTuMNJwyjLJsBWKmnkGsplr+DSZXIG8kMxZLh9Ic4HbNVhQErB+mM
+yJlzpXjUYlrJBARzHgzTZ97dKUsCGXtEQids+ZsaCOzWDKhzQJ6iLa85pXWvsSahTmIfbWyISTB
vG2GfD7QT5dQHVJhY+jIhLYuhzn1Zk05DUZ9AKZ3o9tkXIwsjvT5Kav8u6Cqj12FGsNiBKmnNrlH
WvXiYzpyrYD5ggZKAB3jtqOeB+nUfvTU4xpzNlBZ536YOGQiL+v6TQuLC/fQQ6mSrWRb4Ttv1ifV
qHf+EF5VkwiL2DhmM38mh/aaG6lwG8V4KWfzaEUZTWdquJKIjzhNNuRvHvqOI7qe6D9l7V9j1fQI
urtjbhatEB/uy0CezDHaafWMqbDcZ86wMgs18QjBDDAnGazcs3sohh5SuMlji/uQp0NOeZ8cKfj3
qqqccS65lEIwoKo91NqtkoT7wKqOQdk+I5s4prl2qA1OWsMmz6L84cfzOk7o0Hwqhcks17Mfrmum
sWbVfpJycyLPwW246caxO+KE+yENghmINweIHd3V+v+xdybLbSPbFv2VG2+OikSiH7wJCXai2Khv
JghZstD3Pb7+Laiu68ouX1fUG9fAA4ctUgTAzJPn7L02YmQZLh09GjmXmdtgEDd1jGS3AZtJSAV4
RMhYU9Wj5Qck5mGNb5163UTqNm3lY2fr2NsIHjcUcmnh/VNawFAkDozVPX4kP2KJmBCKEVAwh6kj
3fZkpxTRveNgq7Sns+jAaXJyux1BH2hR8ZCj/3AZusEW68I3r8rBNdMgWNFPPfaGOHq+9jwIAl/C
qGBoaG0iJ9w5oXDWeGAAn05fi9E4NgXSK9Z3UmIlD4uf9wZtc4sW71ioK2807VOu0vXV21We2Cay
C3GV6Mpl0gzTUvG1dY0pb+EZAfDuWqTbYDSfjD4abxxWGjeGZDwMNizsPn8YjOmqUMwnxN7eugjL
R9FRvgizXcd1RzZKzae2PRK55qUHIw+mfyfY+gw9l0YRH+CSrGNfmU6KrPaF6mPRMRn1lFX63qkD
7pexzFydv43x6KpdeeOHAxnOU7rrLXocY9NCV5x3bUN/HFS+aBH+GLcaHBIOR4CpcXiMiazU0Zns
rGCqLwuvAuMxaA8SMfxFX3lXTp08iZAZ8fx1N4lWAAPHbh4zNnmyg+YmK/QrtR/CSwdvjq0WO78Q
t9KnoskNgSii3fiM7gX62tIXm9YCmukb6XtrMyfXaev4mn2LLPMibKJ93JnUmSTv1LJ5HNXy2hnI
DMsK6xip/jHlcJ9Y+rjPhui+TJwnfdCumf/le0PD39j6Zr6Wjf40pThHZmUxzuNsk3W8sIIAIqdX
5RYEhWyjJIHH/iFQx3YntBucn5JjRIVWfmX/rmiPNVNZyd+V7p9OfOffNWSfsyQ4in06QH3o8BAP
wBBmj3cg/P5wgJKhEGj/s/AUFcUiyw414W+OfvPrN/mJSo43gftLxrpGzPt8ivs0e4y9ocJvV4cn
Me6U7CBwwCn6bdPf/vptmL7++bNYtKh1gVhO2D8gjjwhHE4BgsJdvvf5naL9VZL5n1+fLrdKm5kG
s2r8eK1qZzTz3EyTU9bzoDEqZWT8x+n7J/fiJ7+/RV4EV4gLhYBrTm34dJl8C5OnZsAXsTl3GGfD
+X16/181l3MP/AcVIa32/1yfH+61TsZQoLCUnvR0gx07VteV5erokL4mkfvrj/KTt5pxUwLYpsHc
2/nhViQ2ohOyD+ITlJ4WrS9Qo1nVtWQbVoq/8LPMv/YPH+u72zI/4p8um1BDMsTNJDkV2tKpqeiW
fLVmOWu3/vsf6vP9/+FDZRazztb+/Y200IWyRPeQfWTeiou/eNZ+8r20HBUiqc3uqEk5zzs+fSjN
yGTOxpudasKeUSzCCvBef/1xfva4fXqLHx+3CXJD7hsiO2X2S+Q96cr/43FGyahbuqNKFYrZ9x8h
KnG66YrMThErIK3VZIyWv/4EP7lIjEGFCR/kQxn7g6YhUzLqe1MlEMJ66a0jYgFsqTe/fo+fPck8
xBZ5g5BB1Bk3+/lGOAxas9GeaE5T+I1Lu1yoxhXcnLxwJ+0vnuSfvJdNdqGUuLIwV/64TgZgPGF7
GNkpmM/UaKXoBq8AaeTUWNcfH+sfJY/gIflj0f0TZBhFYFO9/GsJV/Zneh5+9o+2p0oOJdB7uprI
66XNff+k5wGHb3zL4jH5bn5re9q/8ZXl22pIaQl2CO7wt86n9RsrogEe2DT+H3qeGTX4adWb9Ty0
XtlLWWUZoH4IkL97LlMLiyzl2wnHvSQ8tipzcQFVVwcUmaPQ5MRzN0Y+OslBubQz1HKRAaK1j6gg
MwVBTxPdDn6zj+3hphPD5egBnCgC01mQ+Qx5MpwunLC571NY8Km2M0IwAwl5X6Vdo0IbUCvQwh/S
chdOqANTKlcURkx2LGfYIAB+14DVLvuPlFUg/YTiUV1Vc7U+2fjbowi4wRy3hlLkaTTB6NSJPq6c
ZkxdURW3OL7ahd4qEiUsSZjFRDxj3yx0n2DJKvMeEkLrGmkSzVOz4of9FxPvVOSVqWuo1ivxG7CO
zfDRLIca6T9UgwHLFyfUhZLLR9PXN7bFtI5u4zpAgrHQ6nQrAaRw2LGZy5EMPOp8x0NMWWPufUmb
ARgLjUw0uk/U7+Ey1eNNHA87QG+cMYe+cqsOhzfDyDdf6CDE1OyxyBm4IMDQXK8FqOLJ6UiM50tY
GN4enZSFNkdCIvXNlZLZ6rWEM+jquUdPiOoGMvJA66aP96pRdoj5UFXD6qqadR4RFqdbuO08K2cC
g9M+MYZpZQdoCn2HZNBWZvWBTvHgxmhU6OOEhesBaljipnc4JMQBiL8cjawIvVUm6nCPnjUBP9E3
N9LopnuSmAL66Im3iOtEHMipsdZTH8dPeYW5ObQs85G+cnpdV2p5DjiU7Wy1Gi5Lh9Y5tpf8QhKA
CbNO16NLr8/wXyn5QMtqotKdUuF9GWg7225vKOUuk+Iqzh2cmkFf3ImRC7/xbJJEFYaU77qNDjZ1
pFz02MGwttjLEVQrZiqE4d2cPFxX4V6t5aFBUAIUGYujf1kTVSxq0lKVsj1Wc4qxN+cZW4K2Qztn
HFtz2rFO7LHekH9cpqBTPxKR6Wh5HjLSeE5LzubcZHNOUJ70GLTGnKpspeQr5x9RyzK84cxfwHYj
hTmf85hBGXb3xFPaO6jNwJ3m3GbckBMH9ep9mDOdUxg2g03K8z+L+cf8ChfELxZz92vyryOP/FdW
7Qysx7h7+9//+bfHgx/8YyUnURjZozBn9/acVf5pJdeBrLLdMqTCj6TOLo5/r+Q6zFaANgbEHuqX
ee71x0quYxInGNhiJTc1doG/F1T+fQ1DLLJNaTRX/LZwGK59wMk+FXqNBzclmTJ5zgDxiTi8tHxa
Wt24+nRlzn8+58kPgeenMtnAAIZLXTjM8jBeAW/4vpBR0OvBpYz7s8EAddf4wtZXxtRCQIBekkuY
UkpvQdtr8pMztpdlXNxZsmqXRQ3yo8drvYorNd53lUEQaE6cqjZCbIFbASWhrx77uiiWmF8RKM5A
1aBObgrecAmt+cyZAzkXAouFXcJZtpU53RgWKLBOe1+SkuiAkl1mKoIJxzC3UGmytWd2a6kbjdtO
rPU1kcswlR4U26Lt1DoLPuYjHcB8iRfjBi34tZIOoNRop4SClkYPoNAE+VI53bH3UtJDHPUOiRow
dZqPrpwFcG3XXBnKtO719sGxq6/St579dMRQiGQhRnVCnEt4NipvT18tXCN02pqOV23qoOIOVdVd
bvrb0NaB4ATBnonnFwZ98bpLRcGygfEyyYcC3+FMBUWTvlab6RnT27x6RyfdZmEeExzoxEeW2CBb
S72rav+QD2m7yNXx2irbDdXEFhOEsmhYb/lFNXqnTQacVho3ykjCTdqU9tJynp0GMwJ5Lm3JLlW3
OtgNsJI28mLuH61vq323EdbQ6zEOStci78sg35aIZFVSSySqlmFEldszil/HanIukyBaa1q/mVL9
QLcKXpeqb5yOaxv0hIsoJnSconSeKUG2zhhfk4E6utpU39NLx2teE2ysNclN3bc7gnY6FE/iVSSM
Mf1+vE/C0NgM2nSSA4FndRB1i2qq3tREvkkmD8t4ULcEQO8sCnKUsP0GRPBVSmj0YOXmpaVNGWHR
2esUFY+BVZNxCpQJDWrk6qWFe7ulyQ5zSGreHMXqVCseMc5qOpA+lZTol4xBRbWebIVRh2EOEJEE
oocOGUTl11u9p4slrH6t2v2M+8TfnSQGCWCjuhQeFgBde+uFs2OCse6mvILkFRfdfWxoM5SUIGkc
4zM4qh3UkLGb3Gm0q1T4vs3sd7HLF5TU12qsfIUBAUEHdWTO0wiGtqMeq5vl4EBK6WN1p6QGQF1Y
VnaFMJn+Ca8bQwCtuxDEqt8/mRH8scEvDn4oPI6gAy0JLAc6jbMohtJfb/u+eZw8XAyDEy27SJyj
Kj/EJl9ZLYvP6Dn3iaLspiSAvuIHwWoaRkjPNDPNHqZ41KMkGVr1GrzgZgAKF6OxXg6I2DKzeOyr
FbGMu0Cv9ohJtgyYXwZ84JMB3I94qJoTzHOi33R9DR63vSiIgkhoVEYMo+Ua70ng6MyLJ23Va/q2
k+TqqAFa4anoNpoVNWuhAmj2O/0501UgVXnvekpFyHVfbFo1O415/4TUBVDvqN83jbAPhRLp5e1c
Hvk2hvJtLlO6AH+xjH6fnMmXZj6dQbJkHZoTi2Yd5Oeyu66BgNGTHc89yT0LfeNdDDf5YRcxDnvJ
HohJ3gFDXXh7dMCtC9Fi9+v3n1sM3y/ivD09HM2Alm0guvj+7SuPcHTFbKdzZ6HB2zkCCdHwrGDT
/vvvg3YBbDnHax3E5vfv4zTsWeHQTWc1vAyooZPkq+Pv+rb+i/f5fvf7/XJyPdkDaUBaRDV+/z4l
ZiujVQNxNo19ZdLBwX6jP/z6s+g/u2efP8wPb9IGQtQyni/aur5HdrDqtuLNducwzQNCI39xXa0Q
EK7l9u5ou8ni2B3C9X298lZX0UW/2FLcXzYu/9HN1/xZ3f/695M/NLA+nilwL/RFDXp/xkcs1acS
IGmnCUG9UM/Qr47elViJg/rgX0g8XEsSjxcXT+pmWB7Ldb81QGftsRhcQYta94vk94bKP12Bmbn/
37sCp+ol87/+uYqcf+pbFalaWHVAAgmNHi3lJDfxWz+AoEBKR0MijeaA/10aoPYbQieifg0NYbKt
GSwX3/oB2iyoNvnDy/7tKpKK9buVgVYDTTBe36HJLXVNnfsVnxem0gRQ3lvCOyCQBY8+JbGzVFvH
2yvAK/eZVQOIVMTYPutRcBF64xMsNtxqVvSqdYbKeMjora0ZoKZYlRoyTFGQazZEYeQvpRnk936F
SHdJqjAUbQQvBOFFocmxrNCqFywj4demFV61lpkR0ILtciy5uZuhiFiDgY1KrI81IsSk0rt1WUWI
CEdLoYyLSdDxWscBolOAr47IYFsMUPUV2x84boPgMkKPokM6bwCeGTATy7ZQtMhZJx1YxHr0R6Q/
/kXCbLuY8j3iBhJ8+ytVmy6Dztl6mnKJCRImT7AbIAWx4ZOdy0TXoEfUIVKs9eCy0M2NKJRz1KG4
KTx73xRBtDR9O4NDU6uXWZ2zaZFRvhpN2B4VO41LeXYamvqkxMDMekQmMATJTCK7aBX46N4Xidko
BRzRsXqPteYmTMQNR5TUYKbUZGelRKWu6TFqiGLtF2bwmJNsb0HJ8WBPHDodpI6WB+9Ay3HbFgw2
JYHJLaG2zqilmCuMfl3YzFGtkrz2qko3WcnHLRJzMchmQPtpma5Us+DU+b23DUmTwnjKNJSkAqjx
TJHxJNZipExzCDEtJILUUDngY1x3JEWBPy70u5rK2wqYGFewa9cYycNFUqRUABMxPYVVkKrWUlyo
CkPNRSb9elmPCOc+fRV/cnL5YYuYQ/lsRghU60i6Ger8sOVFIuhF7NQA80RQrLWkly/ByHUihYkO
/Md7/bP+zXXKf1//Di8wvP+8/M0/9G35kxIymkUfHFQJR975n74tf1Ij0ByemMnqQ6Nf8E//aYey
Yjoah1wKJktoLErflj94ByoRqeDUDJPIQv7pb/g/OLH/sPzxi5nQGHSOhPwWvOD3yx8ubagmCk5n
oCX3JW6LZcL0hGltScbJRM5yaW5g0OyMEfHg4NynOWcR0bJGwVm8jWz9oOXNLo2iVdnZXu1aVpo5
q3DuSSVzdyqnTeUrhIA3feg7pINFyheZ5HiAM5Ux9N7ykOAtjVkjZCZWtK2bKFyluAivRMYJL2/N
mz5GsGR34wnSC4khmeYWAXzEcshvx1G5J7T4DtxquxBywudd9TtTGU9BaF+oFoEZQf1aMXAwYjLQ
fJKQikieoXPfy67O0ATg4PKa+NAVnE1bL3sfK2xggVTX4Gd8V1YzBUcOp6ZSX8CmQoXqNEqLPHgr
+3RyGwFQyWGk7osGiWtOTDh+fctjldfHXT/kyjLo/b3aWieNfiwV235qraVQMbZ3aYChTXb7qise
AuE8KTpEJjshKzmvV42R3sfhNJEzN901aDO6Vi1Qe83ozvydqs3toI85bdEtsKpcguok+Wgks6zd
K3n3LipjdFFIWpzmNPKeQ2DjioKGQEtiwslYYLXAXBLtJl2P/AJkCoF9kmMxLqexBKvegGUJMIc3
Ds76nBH8IhWjsrLjeGKDKtQlE/HXYPQvMk0dN82sGakHFcue3BFkuW3bCkV6lS014FnQv6uSIblp
tummMRKOe0aS7rSmWta1cWgGCGRaLuUyyLq1TpczhtKD/kKhkT0AXRpe0ARA+GIeyuE2c3Noaj3Q
SxomyouoWOerDqmTGmtLtXa+juBjD4y/AFuJusV+EZiXSa9tC05QNwB59KNsUGWq0kcJaDmRS3Ll
FowY7UYz0VdJB3YoxRGSzUrThOefFDF7Yyn6Tinre2EYW9HK+75Db+8HtXCbWqpHrZDRZZHBvPJZ
jleBkU4Lr4s48Q3AnDSA95uRqeWxGDR5hUfD2oZxt3FAJiCSvkhjvLZDKV9gnCA9ycbwZKHhWzqG
vh7tdN02OBaoU5Kl0WdfxhqFRBc+5vQ3SLOIV37A/YySkfhefdZ9pH9vJ4H8orPaGIgQaOrN0KHv
14hCG7o4IdfrlKR3sf7GGb1Pd5/Wzb/erOa3ALZiIkZnjRTyY2rzqZQfC3+oqYtwWddf2vg8FrfZ
v6f4/+xR8yHzv+9Rq+Rfbl69vP0kHXT+wW/7FHBPm+qKchhP4g9jO5UyXQpkLjNp/YN6+W2fcn6j
z6tTYSDtoNU7m/e/7VMzsoehv22ojGY5Cv8tnyKpxj/uUxwDKNHp+2qcd3nd75/B0vcGQ1G7+iTA
xffZSA9JK12F9vTCiurqrEyev81oaD0aeoG9ykCehm0OnXFKDFatdNnF5CNIBqlc0Y7SHwBwWG6F
c3pZsDmvJ53EqTTEv0Tjcoastfmq9JxuWZJ3BIRjumkbem7MwwJGeNadU2c7Oj/Z2sQPtbCM/IJD
u7+tNGvXhMOD12P+7aLipsoDim8ldLaq8F/RLd0OmtgTp3TEJzZr5Tx1IapIXY8Gtq2iR5+GbnUs
OWPkk0N6Y/LkNfKiMYt6H/TtjUD6ufZLM1i2vSkW5mB8MRkPbptmQK09GOPayYevZm5+tWzWNlKW
Wrcuu4MzaI9II7ILtNqYMy37RXbBFUs8QatR8epk6SlGX2tr3ezbQq9zP2DIJkNUxVLp5RujMF8I
zVn7OeEyHpyRyUi/miAIB/Y1NU+Kja4Eb1bVX/dm7G+Z9aFehZa8ivtpcqNQMVetMpysAN9D6Mv7
0LMPsPSgnkg1JyUKmjkyY6KusniTYHPUzOY5VdmFSq2pN6D6TtOk93tbjPc2bkL7PNQMrAq0fNCH
aVs5lyyC71MbGESXgl+to1aHd4DLj+SPYZOG0JHKEEVFAWDwSovlHfE44aIYARvIGT0J4vlpEtas
t3Gc9rY1E/8IFaC4mERaOYRcxdvCyFc9JYQKFYZGoI25CzwQKZ7h/YwNIumptReaAqpE8xGYF2ZB
vZBjhFGU/OxHHiVOjcfdFLeWwtC4j6q3tmV4kZjQ8DIuMUNcLxoeIDa+WWzqnkLkNLLYEm1lk2Ll
bF/0tAYOo2tPaIyfaYEbC9W3NqOjQ9jEOiMF0CGLtHSOGmtF4kgo4WUi9nUHEOpZEl+annVQW4WJ
AskK6ZS9i1nL3LWg7U1jRAkf+8aiU6JX1VQeObrDSxquE8yJY6fcwqJ6bmhp0cgHkN4q+3KojkLz
7oYs2o99yt3y5L2fIukNKu/WG6x9E3GFCumTPV7QW46RaGVSf/Ks/g4IGOYGH5HkoND2tkLxpdad
676Kjn7BidjDbGlb3Rz1ea2NfJbUC68q4KrkHSxxNF/4Rb9ozX5fKMYXf2zu55GCnxkEwhnUf9NW
q/BZCMSqcT0+Gq1tbzArpZyY4USwzLFXlwqT9JHUKm/omHyH1WNVpxckQxxiTe4Ibb1vMxLWOrxN
y1Lrd0VlhEseWGRZSnJNQMqXQksdsNoJBzvT3kiMhCsiluyV11DEoS9I17mDo0hH7BrhhdoBrl8O
tbq2JVXMvOKySuGHjfXunLdMCWTZiHWLztwX9ApUsAyCS8CadKWN5iFqnVf26RmJYN5Jk+Ibr8tS
awkQ68aC2fO8xFXB5Ha+uJFOhtISC6Is6nRRk/7nqEayTaEtqUkDPQsNEIrl4aGd/BtV6F+sFDKG
L+1D3AXexvcVZc2M7ZoyuiL5LlaXo7S+SITOKzVL7IVuFiSuKxNsRqnPDIp1HLbvVTN5N1EJWjis
1Nss7LJFC4jktQiUo5l33SqvWSPC8IES7lQhk0Xn/k7yL14LgGIk+wjS+EoqzLA2aHQw20ofUmIO
ffJ36Vk0ZjfH6Rh7w65uHQhRiyq1mI5P+TPmU2dV6J22aOLp0cM0u7C6GiuaUi6ntjoDaDwGvgqs
0nse6vZdbTnAa1l1kUxyFfs6ov3GuGrpL7SOgvxBVHiz6hIt6XAp8MEuqjYTC6PHTQtM6lYbYLB4
aEfy6D7qQNzGpj0nn02PDukidTnepwa+gD468zxwEYb2Lo3V42QgN2jmHMFOZChpwZiRhnqTaeNR
NesLMUR7XQx3GelJnm6cTb92C6C1SCT4VusBJqrEZHQCg3SJx52sjaiJlpmQzYI11sU2us3KbFtF
Dc7stGbZMREOmxp2YNWDWaV6ycYsot002WKnxP0ui8zArUK4XWRNyh0JcaHrJBGiaa3IVrGocM8C
gydYhVGe5HD0T+fgYwRPHvovqrKn9svLnxsH8898K8ikyiD9Y7zNCX0WUn1qHBDXjuR49pbSHoUg
8Z/GgcO/OHQbLPjRVOtzu+E/Bdls92QIwkCbYT612t9oHGji++HABxeJeFVaEBwJWHJ+PBQkTdUQ
/jmIUxPlj56TGRsz1pS9VFogYyjIrzDd5duWOeJxiL16neehumxq/aLiwA5ZdcBDoDvGZVVNKJZs
CEZ1b246SpzEHopDhRmr6IS+aOxXhoDECKX9VjPb2aDX7xzPBqNXAGKD1N3WXrLInDFdWr1+12fV
Vg+D7Lb0fZwJRfFqAt/L2+KuUvViqafMgk2/fE1GJ8YsxTer7PvtgDQL7HAeZFdISzdqpOtnRTP3
ntmDuOkZE6a94rkKdHKo4yXsmebFav1XL7VB/46ZWPljUe5shJWLMleuARwmeBYx2KQmLuxEq+a6
xLJcj0POEi8AG7s3noOBbMPK0d7q0LwCJX60GwbsuOAfQ6ndNrnDHDySXxEEDCtv8u8q7EBhWe9a
Eyl4Oqlbr3TehIizRRQE29gZrjIRHWpQyGnm76PJuVWjgvCkmcBdSXFL25q1kpvQBBTJCamZwJ6M
l7GtqZGt+tHukYPVRaguShyyvS7OdqKrbsDGGzpYNJW0t/uLcUR1gIOdLgOcIXMmMIT7jpzQnRbV
163JZj4Y7GVTRbQHCuNFZCYQL4vEtQhewomkgBTKHEkApEN7OwZ0Sfh4OIezOrIYN9hN5aIzAcJn
pXPwyXKVZScWzpxQqrTENE2h8erM0a/lKN+T3BjNRfURDBtJ55jQ1l5m2ey6jQHq0UiJ11lCIefH
+SlIiZkV5M32c/AsscRIv0ZituZQ2hq3SFvJY5EXGZxzerVNiM9BncNsVUPZRAORJZ3aPpvk3eIk
a5dV6ywx6iJ0kvCl6TjDbmRITv7UdG+FI/Cv/EsKQrRlLHFBftaVOmfsok1tydxtS7R1WWxyHGkq
bWeSzFuY6cXQGCudxN5RjU+61qLxSBz8uKT6CtJ9jRS8aDMH/gYk/1YNxVpNFrBXyBruQAv4u5y5
eEJcpyQHI+fYlHF0HZIobLbJUy+qL8YcNazGau2OpNvYVdy6ldmjyyWZ2LC5uIauXBANq2/MOb64
RaRAaot1KUr11f6IOCbruNAkMjK1WBc1vbW8mUp3HLpd7KE37DIBnbP/EnCtsZqgaclMarBcFo/I
vg4OdZFps7MGWr2wpffaCODp1ZwMlvTlEqVCjsG53Q/kwS1HJwEeMxpvTW8c+lIOeOiiy9KrJA7G
NF7Gcg7crZ/tqNyDRb5T4+leVWrceFhkJ51ufe8cqiGDLCpb15+63nXU+GCXAB3bSVzXjvY8Nk5x
8vUZ5zUow4USj8ouT1EmQvW67OLyBjnl16CIr20zM5YF+EZKH82rd57Fq0xVYGxTS19VXsngWlOS
XZrKq0gQiGZrurksqWBQT1rxEh86ww48gPA1rVOU1wm/HrkEXpCQS+eDhGGKhiFJvNqT+m/J9z/d
j5lY9N+7H2viW7OftT74qW87LWNIdlNCFGh+WPTc6Yr80aIHSQxzi+6GKfgf8xjyW+vD+o2/A3f4
fQj50RX5ttMavyGac1TLsGhkzXvt39lprT8TCJ15RMAw1MJqhB2AX+LzhDJOyWceGs86QmC78Juy
yw5NL0fCktKuKBgWhu20sXt88xjL/eEe7xlWyNzJCPhtouBp0OqbNChHN6hxfZIMuEHr6aJJQaVD
gBUCTYZf+RwZCdmVgtgIV6NSl5jCjSOsCpbJRCGIIL0mcfyhb3M1vmqI/L4hDXrr9ANZXB6bIhWz
L0LlGHuZjdu+K1dVqvhPY9EEZ88LQvMcJKN1NjIb4ZEOpU9bsCRhrDe8VGS3pqVg2OA80K9oJHvN
qVTqILxvOfB2qyTuH2IJ7AE9W76FqhKNHHWrQx/pF31rXBs+oHrPyu7FlNySTceSFBSvciYim0GL
DHkKl1UTcW7QvgRZRFNd0Y9mK4EcD/fQHIylRuNF6RRXSSkI/BkErBeF6tpYFvGY8fVW9eAB7qyN
Zip+lr5xE9v9KYoKAIdK+CYd6zZt9a9A6cNVnXJRDLu5srSYMyYg3m3P6y8kaQbPxIdxHoWMLyb0
SuUsO0sT+7ZMVLnOMzbyTGuAXUVyG5AJknVd5aZ9uNMCeuIGCP5FVllkS7Dlr0AdJBTo4wXN5ysP
zNBy0gLmKrrc5jGiKyy3tJCJi9yNnYpgrhVvIndcu60xE3mGB2S33jCtefGDfI8Bal9rsBdDm/Bo
bXJuLI+Vygnq9eApb4YzrRMx7AqP1MDKBDDkVW5RTeYW7D5iYq94b3JUSmaIH7pV0tc+cAY0zdkj
j3SzkE7HkHxusfF4Xekq89fGzo+NQYdcn7xz4iAp9HNUeoFKMiG21JaT60IMlUGMQUcVweE2MPLH
NpJsVX5z0XAHG9r7BhGJm8GA+WWKMl9Nmb5LGRUNpfGg1s3RacLbiNyOZSjq+9QPrgM9CMH3thvV
NxU4VQwOuqC6Hi3vlvzrq6ls+YqoCL9HlTBBJwxxZFbeufWm7Zh4CoJ45bUqFfLQ9CLejAaHwUkl
fLJvEb/7Ro1AXuiuqo/TRQ7uIBrzcZ3bxsw/ybRlygx7Uer9JZzqt4TorxBflIuV92BGBbp5Ye3H
nNxr4STJYgQAqvIFcHU1eqlE0a9Hpzk5lf7YKQEUCZ6sRTSmAIFa7T0dIUXERX7dTsWyIaZh4sos
LGsAvJHlUG5jcGL9lG0VnafTm1sndRJ+TUY5cQi1Ho2enCL0fLsuj1FgVnJHO1ZzOX8gB1AgKesI
JkWq6+u+jE6hb7qmEl+nSXcEB6cwj7FUGlrxKkydM77Rcm0m9O36okeliad9UWbmba/iQhCVePek
/iy05JWpw67sNc7TfkN9rMiveq3c1xGAjTRN71OiZFbSaW/GsVFBXqVP+ajvsSGPuG8BQ1LHWsBE
rrTILiwIpETmjUH5ReuZEUkDF7cC96w1yoOpDM1qiulidtOXSpNPJe6xrSPgSxaOdZ7aDtNrEwCs
rkz6YFAxF04wvnoju7ywmpsga8BIFCLZjqQELloLIkMaaM+Fqd806TxTD7C3q63Xu1WLnBJPaLbM
QnHsYGivUDh+7aaR4adBByeSndt5DIDiOHOWnYIb32lL8J6Czigx96/ITFMGWbq2Fdjhj+Fg4Kmv
ywH5L1gyTZbXfUajYLQhp6tTt4rDbOA+hevG10Y3NKLRHaOgOKRWvxtT7znNBrCyoChW0rLwJ2s8
rURTvZpWRrdz9pYbmbf2dW3cmllV7vJCX8dg1t2A0n1tY+FasB5OGxJsnysbUESlEFHubXJaY1eB
EpogB0JnMZJYRTmfkomlZKBNjdG7gntVrK1S3ZW+dom3BDZ8Gtkb+tG+21u2WHpwyi6Ctn2LCYhb
cybRLiTQPsaRQLjjwc+2QZZNd1Ofcm/6UVkbUPAXCk20hS8pdI2m22kpcFdVtWGJGt3eT5wLz5n2
Sjils5G5WnvxdFWlnusH1o2tkE411XRUgxbmPH22c9EGt5lEhBsT5bFGlRMu2kCplpHWvJolzp8U
afxmsBFzjyrWHGrggejh4NyEaM8peN0YBcqmKKY9TOBLL9FcuKbnDrvISovm/FtmAYvQqo6OEb3a
xAQktUf1aTm0g00FvIBiXOSaPa4wUCDBnEiCFqK/V9v4JY+VM8GuN5jHcxKjhIm7WeWsoxdfE5Cr
fioIjdV0gMGhzkuGMnP7hGyskC5n14ZHzwG6pJFx6/Yl5KXci/cEP4ltNET+fRkkLtTrJ5Om5ULy
1bWS9L1KmydDUxZG0ByLD2Vwk756kCpXqsPc1kmT+5Y8bdBF6H4lOcCT4BSuJOFBxZ6zyPN4n2At
WursqYbSsYCp6tfBrrdW613a3piS5DVeQMp1CLElcNrIHtKxOg5zfrA5krlbMS7lhsIZ+T/2zqw3
bmTb0n/lot9pcB6Avv2Qc6akHDRYwwshyRLnKTgEyV/fH11HVZLssm8B9wLdwMF5OS5ZZg5kxI69
1/qWdsaU+JtSuq+yp01rM6nIK2Xj1/ELQvhV3RbNunbKZV3yU1koXwEXnY/BWUbMh2gdiO7Jo9fG
TyF8SSB06iwWDlGDsOmtxg0Y9hKWWEN3cYiJijI64jEjln7kfo58nfazbr4YakHGjOVcoebiL7OA
d5l2HglkCKZKsClZFdGayu2BCmxL3umqotKZGY29G60iI2kpOtiVO/NJotQM/nFYmLi9cMgzHVob
WQNL07sNHE7hJXR11ckgzOdf0UUgKiDIDTQBhirXoIES3Qgp6QzUajSfIszLyDsf6JAvDLu6bBXw
wU5saSjks3Vb9PR/J+iDJrMZXTyA7FkWrCKfRycfEbsbgtZ/V/HW3BxmNHUnsoMIN5UxVQ9i6xjh
Tg7xa6hZ0SqQLmfReF2M65qOiU6YGARKrT93leQ6TCd1nGlmcywh6zjuSlgSFDLG+GTQGLFl8OTa
IIZ0ZveKr4Z8WdVjUUA56nUZW2zEnTjj8QHSwviKPulXjXYF7HyO0GLpbowA+CQqtK5JFr5rlKfc
FtkwV/PIBolvWppyG3ZFoc57rFtih/5dZsyXZOd2QLg6ZTgNfDu5akXKwvRRUgejI6OF6yW7QtKh
6BMS0ejtrkcPro8olJXixJC7E0WuIrNYECjWLvyOBperjcvc7Sr67IG2TPX4xhD5lTTtfoWy+bWK
xa0ZOdYso/BSfJQDnuVtQ8d8LPP+2E8Uq3DiWYUT2Yq6q54nCbQrS05NFQYQbCcDdaHKxlZPfKxO
n747anPO30gKQnLyNBMRmbnoG2ffAdnygG1NHsdZDn5L84ZF7Znn2sTlon/xxN4CMBNkVwK6q54Y
XsgMX8aJ6jVOfK+hczcmwC9SSEKKPNDMHCXozEAFs/38m5AZzTZ4YdZEDqtAiBFQf6kTjZZPbDGQ
ajTjMv/cAzvmwGSaw1auN23HEz2xyervlLKJV1YDLoPnaSN7A8Q5Mc04fz8kFfCh8JCQ7hVbw0z2
xtYSNWmnbrdXMKExCmwOmRV/Kyd4WkAmqISmVgTq3vKGVQplzdQPNiMxhcaDmAhsHSi2BNxcA5qN
DPMbYFZI5oG2uWLd284VDoE5de9+AO0WlZA6JtabAfRtnOhvMRg4XuBNOLXQHWrBZTix4lgVHsyJ
HpeNSEUKgHL9RJarvzPmsvFCTtQ5BKTEwqpo+JOTlPljMvHpJpBoBrAuBVwXTQC7iWT378b598b5
5Kf/+wP9MW2zx/rH1vn0W28H+iljyPMMdHcaxkx7iun880CvfTHx/+Jq06EDqJOw7s24pn4hYwB5
gwkt8V9C5bcDvffFArXMSeX7aX7iMv6T1rnzQ+schiNYZ14FImaaQNPP34ldTLyvZE4O2sFKZZNs
0Gbp2IOr5CL207k51ico67fIWadhYLqW7BFKFNazLPRBDQVrj1C+WZT0tP9KFMuFODETQ0uknrXA
Uu2s55BSL8Z2w+nqvgiCnR/g1g0OWuxhk4pqAsstqlFHo5BJaoB1MMW/paYHaaa1kpnpu/eOSTyv
yyh7ZcrmHgDvRuog/A2rO0ayMZYV4ih+rp6NHbU9ErMLyNLEwjvp11xph1km1JeorF/lqH9zFUhN
RZuEc6H3V5nbMwXuzXuquVsxolcicGQRuzYpkCOzYXsYzhQzuUSWzfKcI6PqSflD5spf9OtXhLP0
YEc0fZ1G0gcrZKxHQJx9cPNZKHBJF8azmtxZ9NZrezoo4wqWYmPHXkiHoBELjuKDiTsa9C16bMOA
JmMMEt6X0XiPWmT63TLqBTigvGNl7PNkQ8VSLdEtkqiE9XWJWltSoXkT38ZNVzhv8a7onUATR6Ax
pzbZnFjMUSqOqTh1hRGTacnGUWLumek1lrBaoHoOq5gY6jzRoYHZd8Uo0IS3iVyawnSpo6gem0nM
0HtFtvQ9n/GKI4cT9yaj1jZWF7Hs5iG5DTsPUBCtbjO6oHUYL6TX1rswIHC7F8xLofyQWl7pjBWU
kOxCLWlfdQ/qMp0HEsDB626Y9D91DV+f7npkNdD7xb2FPDlijdzQGXvxlMIimUjKJfQ+fSYmlLBK
rDg+7fToGgHzYPDYs0QZoqWn5ebaTA2EH11trd2wesl6zVtbk/68EgpE8bHAo+GmpGHhcX50Cw76
+hCpG181+WxUKrWc3v7M0JpELDSHHPhMKPlTOeQswjUjz9qqQ/oHijiTTiHPAtmKNfBn1Byqa6zL
xk6XfHnmzK+t1whx7swcwle44MaaIyKDE3XMoGV6JXWi65pPakZly6QeZneG0z3IhD2rmCMvfVxp
7Gh+bqNCbNMnnrlgJ+jSbuSY5M0yjF12mN5w+5XXWSJ+TVHHblxN008Fqg1qJac+azgiQF4s6UCp
/XWqaCRhqPgXc8NLqFGqr4NC3oM6+g09OFks6xA5bFffK0F1m+IOnPmuhzQeFdOyy4oC9pODFGSI
v2p5QTZIHT0MDEZmOj40GHguvemSge/YnqK8cWeWnU5pT0619VqbGNzuAbfBSgZuiF9OeZVxUyO+
je4NJd4BGL0jw9hZG7Viz8kLmRYR74KPYtsm3mvBc6pMsvUmc68p946VFu5KcA+0pIo9XY9n3fZu
u1Tp6Zj0pH0Ld+sKsSnG+qoevZsqtH2Cn7JwXrVi2cUDYVt+NKwNhspzVJ4Eumf5mWSjFm54GahM
zJwAJW2bGtWZpY7ssDFKmFzfMKzeJY5/cA15ofTIwAaiEnlSIjHLudlmCCVzuh5e9BS7ef5gJ028
CYwOgJtJ2GtfeeaOyY+FgKGoZyZhHl5NFZKpbc68ojoWUrmyUX2tYzqcuwD636wvAixqg3R5SQCX
B6WxV2XPmuQXMjhl2JRnNY/LqZ0enlElLx1eV7xpSitcxn7krVWGapdpIMqFq0NQZIVp13WMY16x
wBWUpjYsxxilSQw8jRXGGdZ9O8RLH4kJZLnMXHpjTGdCWK84N4i5NMctqMSDCjwzM+JzqyWd2ZCq
vjakkS4N4kdWiVlHq9Cx1DVzPm3BgaXY6OjF6E5AzAtTMA6ALNe60bPUIyLYhBlPrS4lttvcCOic
Tj2oklVKrXxtLXPeqSWwraKVJags1uw1+iTyMAiWQB5C8myepSgMHNn+u9T5w22v/bLU2QByBMXb
/FjsTL/3Z7FjfJmmE1PiEfesoSEG+LPYMbFeWZpF3/6tonkrdiiDJncV6yEeRcTQyC3/VeyYFE+q
prMs/jnz+AfFzmfZpklcuktsOpYFeAFwVz6WOk07SPRoljy26g6hdjxcFvVv1Ml/WP0/mjtVTBIm
2GyLqor3+/EiGtqcOE7q8mhIDPHTI11jgQ0NPTeOoSoqcocLu09OYxHZ7h70qnMnAkdPTq5qDfNQ
zXod8kY5r/tiW4X9eUTxA3F9OUYYp9rRmA9DevQJfUgLZTvU3kapiqtGxQ08hFiXKueyj+qNPzDD
DLN+lUeNtrDMaqeU8qC4yVM6EIjLmtCW5TZO4zv0iRzVoxAcdL109RRoXw0eqRevonXWZRrJRVqZ
zjqqzBa8PDnojSU3Vcf5sXXiG8fdVEY95+3dBba6VT3WZJj/u6rPX9LaCxGzmQgbsxefeF0WVfaD
Qu3dWVWLFWk+58ReyIWbT4ImqSfUJerTlMiMSJ1McDO/7jRKRl2/EX2YzuDa3ibZUENUks+1be4G
U+SrKi4v8rBnmlrhscBpZs39QlzhlkHHZxYNagjjIguQ2ja1cUolO9zYtXdKbMBDcWBy6Wxirt68
xk5FZxVBPH6s4pgX5pkjSYQviUeEB13FG1tlsaEvGICIZH2OSh1VHMB7trnxVgORbPB1zopWubSk
gkRQT69l5k0SlOQeZitYWVluPaA9+7SREPKVZFcrEbwrrTJnmhucB82zERcrtkdyIKQ+N/uK7gvh
Hf7IuN+vSGUvAnicbisWDVXV6FjPZcSSJwcIpo757NZZSAx19OpmHI0DEyJ21XjXaHRfzYig9yp6
iSoGAFrNEquLkN6JOy+C7Njp9ZMWx+pcmIx8YDdssUbQ7e+aVeROAl8DS7ZZN9SEsIDZptsjwrSb
LqD0UtKGkKBQTHOpq6BvqkUBhXee+8gPTcH2Gjh46vj+PDe+0okvQtJHPe11t4nKaTwa7Nc49h4s
LZly+zCRG4h0ZgqpKxes4mIeEHgwZ125CYbqKjetchcmxiFIUbCERSi5WWFng0xFsVwRuCj5PBxn
vE9sH6CASkgh+S6mJu1VJ9SbJEjpQRAF2CugYLqgoTetvDaKe6+4AzsGRwPH0Jg49j5iyaVDxhrp
MwZ1dfndii5NUfn4NxhHwbSorq1AUhbZCXc5+oCbBKXU1hrJKLYNeV1V+kYZy5cMgXaUlClpmuU3
rakmyx8yiJaM7FUiSUgTUXxrms0itTl11fZXbEv9egjBlWfYOCJFuRRtjJxHxkRrL/yMuLEOJZHi
4H0SXgm7LrWsGe3aeWCU2Pw5A5HuNndojytOPQcUq06hkfu6cO5C13qJVCRPLGsVEy9tlZH20IXD
meGajwrYVrjpJHK290FLAg5rzqXItSU5lpeFZmwpQy+HwVnYSvCVmJv72rWY2qpnngyOeMOPQxZe
jHWzGhle+d7wjUYM9h0nXiQ19pDMV+ZJBdCqFuRu0MEXZbd3Jhp0laSM+sYFE1BJ9UkLLnYV5jDK
YWjE1yzykqWv1y91Qy591d8q9YvVcid2trMyzJhAGp98LPTSviQoLG4HRVmq3eB8dYKuX1cVKo04
IE7Ucsum3CeGcZcVJlGVY7V0ujyAvxSzbsFLN0vKL2s01s2AYdRNUW27Bv6nql6JRt5JmX6tK+Ue
IbZxUltrPLLhVSuRVo+Vrm1DYXzrffdQjcMesUywyDM61Bb9/AXhRS5JHmm0yuCJXiPdGC6CLLyK
guCJSaIylyQAnAmaQKTrNRAIcmZIZhPe5zrfogyvo6iIF56h7Nquvmu1YmSEYGQrf6JKlLy+WRex
98y9hDWgVVJ7UbclnFcOJ9ewgJnEDBTvwSR54ymvb32vbhdm42QbnmZ3UaXNwrS7btNpjVzTdQaw
yxGCWksNsbsS4Rc0TONor1sbCbprUyfdEZbWJebbqfG0jjuzmxWK/xxxzESBrF2jUb8TWn8VWMLe
Qny5mw4V8L9Gf/+u7fITxw6qiPLTpgtow512XM4xxDN/3HTttC1h6VTtsXDJ1NQOsXtt86ot2GTx
70gEH6sIyhQdfQUiSA2dFHRHZ/Jwv2uY1HXRN1Nqy9H1l37ytRpWofIbmMDvLjH9/N0lSGhMU9mm
8ljyYA74RsLuwSyvfv2Z/fQi2CxVh9pK06eq6/1F6hD0WZxLeTTEdVWc98pe6ba/vsSPXwsf1btL
fPJqNUxnAs3s5dF0r7JqNWbkRspD7jzGw2+uRBft0w3w8UrTK3n3iaVhZ2V2w5uphnGm5Yyh9V2b
0RTlnLobadz8+o1NL/zj/aa5dO0sYsNhC6LW+Xi5Joj7URCScEyrOw2jtmNfB+HZkN19v8y/dVIa
rc6/b6tus/JFRI/pT84a/N7bWUPjQDHhW/AJUKFB3frrrKHZEByxh7EYfM9h/6uxanBAMci6ofjn
F+nHslK8NVb1LzYOMRdSGKeE74ixf3DWQHn14R6ZWA6WCUES2QDqZ56CT+uEg9E075VquOiNkgho
LSFb9qJ00CC+quOYW5RajdqwuxsoLcZNYSeJzCmXY1Ywm6ajrzP/cLEhbITWOdDSbf05AIg3Lzz/
EYjXFelQ2RGDKa2s0dZXxPphITXV+oLYjdewdNlxM9iEWj4dvduW3M2aTO2GpgpYfM06H5lBQHJO
G8p95v/DvLdRQ8VxIPalqiFFYayHJiU5Q9qfL+pSDithUc02FR7ZFEDWPPM0VDYowvZmN+wSKzp3
i8Y/I5sqWSWKx7TEQ0tObY3sFvrTsOo9B9VAwzZcUeOh/HQIfejZESu3hddkKvcpq3dp9/nOCdtr
zQ5Vih1mX8zYSjAOg7IXsf0sczb6qnC0NV2/1zGOHxikYSsxOw1MuU8Qaglf/ob5sY/gI0S1axTb
NoxfmmDU7yl70dag9gKSkFYLp07xw+CiJv7Fy70z/DXa0paqsjPLXj23aF2tI1hds0C09rlwnJNL
uvcVJ6GtDIdrpURBXpg0GlW3ODk2QgD4YiSZqiaQzoJT3Jgw0zRVSedmSJRzLWynnhlSzfuuJJPI
V42ExtygNesgUwbK5FEIW4CPZW6u0/W5GDRq9pkSaD4inJh/yZu7nkLSCS1SlFy6o1jbshn0a0Vv
02hLv3LcIc72DhE+nGpWjC7DRo8PwT94zB2Z+9FB6zQvOdeRYGlBNl4ByiSu49+r1x9DIbaDv1+9
rh7z/1jBonmO6uefiD0NfvltCYPHQBsCFA0tg8nNymL0Z7vEYAmbZkMTXIZBEDvMX2JPDwkfEMC/
futtCXO+2IAaLJfH0yO3AB/EP1jCpgXqr01uMlWwFtKZ4X8T/QHT7Ic91UpBK8a+GA9jc1u5PgeB
5p9uo/yrJH5CMwfgyCU+LZFj6dtlXxraoe6VmVBX2PHpp3+jBn33BRz/eM3v+fgf3wkl26frfCp1
CkUrKwHq7WCV3VwT59L59usLfC+W/vqsfrzCp/ojYEaBt593ovesruaNQ4saVqunMBrviMBR53V3
X7abNjo2hT/Topc4JEDiqBenJr8K5LSqntk4VF0fyad5auMrSRXfe9lvPoqpBffuW/3xlXJjva+U
jEjxGymmz8LAxcEyWt622A0LzTxIYmF8Igej4dVBZVfxfxFMzH/9UX2ngX3+qFBAWYiYVUQR+qeB
Y05J2HSqMxzoPOHC0TyRniemTgzlQKeF2MFYzYlpwlIpemh5rbzUUkRLMmfl6lRlnItJTKiXrUre
SqDupNcwckmzOz0zdvjhGN2Tyard9EYGui3xYjQvbkP0YbxkWd2WTATJr1lpzQBdb1iH4wHI8DIL
SAdjNW3tcS1675jpR3+MVz6ZPhh6gvq6DtwLYIgzkSCIgFmjIwGCUzB3CIgdkGkk1nVRMmex6VaP
FfJJtBct2UiOmi0lZIXqro7JpVIMLD75mdaYpzi+iMEjdDihbzIrnZUGHL3Cu27YOMzYmsVTa9uK
AhO8f+UuVJfOe5Gk9w3w/SzDEeJZME7wCv4mYWCaVr+7RX548D9jWGQEqKfp6/Ggro2Nvx3Pm1tj
TQrRoZ5p582mmqOGWXjzYWXMd2KHqXTR3yvbZNWs1bUNdS2++M0t8+H1/HjLfmqpmikpstl0yxbJ
FvZGjrCRxNdVpf5mOZpu/c935vvl6NOCh0IbiGLIdejdpdf9tyqYR+2cYa7t/+YhmHrkP1zq/UNA
hfr+KaRjkwrDi/RDaMzjI4lYeGsEsTU1mbTz4IB68dcf4c9WQHx7HFemBjjigY/XyxjEO05q6AcJ
bDEfnzrl+OsLfKx2//iO3l/g02eHCMrJu0DXD3W3mAb3UqGDnfzmXfzuIp9WWa/37HFwuYjXnY0V
HIJrENO/fh/T6/x8D7x/H5+Wx4G9WojM0g86z3YPFF21L71474FH+H6h/+6z3UX0LIq6eG3+9/Qv
PxeIjKIgbP7Pxz/Wf/w5eCkmWP6HPyCCAqp8al/EcPlSY2J4qwimv/lf/eG/0MzXQ/nyn//r8VtG
vR/VjYieG/0nhzT+29+XR9t8+ElVNG1Tb1WRZn2x4e1R4pjk5X2wwOCOQS0D3YMMBQdIFbf5X1WR
aZvY9OyJoee5Uy3xVhVNcaWMY0hl0SGAwPz8J1URZdSHWwSY9KTnmV6DzquA9vjpLjTClNikzmn2
WWKHWElT4s2KjFb7adC7EdVh5IX+aC/NsFNDXMsdQgpLa3T4UwbuTDk3h4gI3MqNquEAPYLYCtIq
pcWMWevtqqX7mIbGWnNofnNwMNOoRtrsx52+UHyvyAk9tlvz6LStJ/KFo5adedZblsQ2qSlVXD86
YyOANTXgFZCc9L3oPFZunAXruC49CEgqEV/9JCyQeFSrooSEgAW8aouEOXQSM3mpZHcWDdgF8K3k
eydN2kvNTuSTmltWCaQjDJ46U/SrlLCqc9jpBZ3+wt/HCpAggA0h/goNKqcrjeGkObq/RSErL0go
l2SSds1C4NEoJO4btJe6eHSjqJ6nDdLMeYjAd0vKcXOtywopZ5hbWNBSb92FqWRAAqgab/06RUFx
ieKB1K3JxJK2am8isa4xuzQNzghbHfYClskqAc29MksNRWFdA/FgOmU88TWxj/kqDnKthI/neaH+
YIzleAxH0uBnid7qT8ysLWLhCLockri+M6yaTFm0VMe8pK87ull7aNvkmY8031aAlq60OlJTIqLA
2JpsojPLKcL9kCXBIhisaG9Fdb32PJI/8cK6+7GikZqhbcEWkxEZbQTDMwrO9BxTf/21zYp2VXsx
WWpKpF8YhoZGxQ7rBN8FOgStr+wT8xJlxdGwPhqRUS4QVRZn6LK7s7pOdsibR0jFiruqrKF/lXgK
N26ZBbu+wOpMdKyjkPZOiGIW1RC4i4EBe9Nwwq0GN1+XAcYPE1oK5llBg2vUPX+XCsX+ytTnFlqM
fq4rbnng5fsrJcnMi7rQ0X8LoR6GMYS27Mp4G0RIegsYJEwjyuEyFK5cdLWslkPU9sugG/1VDdIm
WPyPLK3rl2L/mL3UH5fS/5dXVpPd6u9X1qsiffyZvXD6rbe1FSM/6CQNKaJN+5JD4rsTpz7N7l3D
MW06ZO70o7e1FXwSf5XO99u6+9fa6n5Bt+gwpDdM3fnehXvbX45/bKtsTX+bbUUT9dPaCixgAkVC
GQSMTPrKpzLCdLNYmK0+HNwmEEcHR9FlhAr7rkhNfTdM6RX0SZyVywniQg6lT3wEKRfalHfhTMkX
oUoGBiTeCA9Z4S8dpRHLPKrCpVup+zQNPTg/mn9Owos4GfgYZ11HowY8PZQUtSj7jeJ6u14f4a83
YbPRSiN5hquRr+mU+yRSjnImyrp/yMIw2BXVlCQ8IXZ0RjWzGooLOb3DV08n9DU1Hgc/c3YtTccV
djR5lpOQsRSF7Od94/kUF+ohMVqSPqIkAZ9RoRJgRaDNN4mvANLN1Hhs9Jkbx0QMatLkpJgtqnEM
XpGF34d94JO92M2ZK+5i8EzMpPNkq+PkAxjl6MdAC+7UZMDVZQgWwPxkFZW6jNRGWTd2MEKgao0d
cSPOMmU3Yueot1Fjegs1DM11kubmstN1f2Mz4J5FVpDsqgyfll90p1GwRJYpluFWsfATWxaJkDCT
9MDbxwbFXzfw6SitEl5GoGUXWaRxxEeguBgcBuBVWO9aPX6oSgcLNRxVtH52vNQC5rpBNTYYcfjC
FKkJ7CiJSoiAtolNhbMTXvre6tZZw3h4GNvykeyr+KJvzBclKdRFpWIqyNCZLGgQ4tsOrtCpnDIn
MGZJ36/1Lv2qx7LxSL8l9EDo6aGrtGOhE9EZ1M48NaJtqajrXsf/Rezi0i+5jm3jm0w7M7iAD1jO
2ZSxJmovljWtz7a86sIkntX03OaJmhOGkKkHJ/CgfxXrzrDO4967KKW6DrWWnN40QJjp2xAb4hWW
10M2Rs0M7fjKI/MbitVwYQ3lokyUGzDEZJb25pntt/ykxTqlC9xkWrXwQvcZZzq9z+Gm8mj/9n7J
4XXi6jS5PmT7KrGKGtai3T5TlQicIUjgVz7pLd73HBcHjeG5ZleinbVT0Es5Rb446OTOgykG5t+L
8fcuoEaF+feL8VmUB/VPamN+6W0thnKHsMkiskSzcTNOxeyf3T/1i8F6azNhpPs2dZvelmL7CzCp
aYVEhGzDj+eX3pe51LmOzkBkaif+ozLX+WElRrPOUkyX0QRwDenu44lR841mSErH2oejYogbDM9p
hrViyCBwhEoLyy6u9eiidhPya1E0VWtVpidVIb4PN2WGC6xvonkDzBqDh2vX1TYrxMgKwFOBD7KG
TVXX/g6FIFaiIi3G5FRg6S6xdsOUeuil3iDEMPaDTbKxOfnAR6fHk1uFT4h00QdPbnHGPOFsUBVW
1HaN9AiugU5sqcRkHmr+HZUZtvOCdXRYpN/t6IQl40yfPOpoZHGoLkL+VXtetEOTX5jKYG8GyGWR
Gfkgv1KJRJS8Ez/vyic9Hh+CLrbJX8r8uVbmq7pHUVNk8aaKlU0UoenoRf6kGsCTUxhdBA5lN1Gg
POsXhM9dFCbcM8Ph40lHhBGpf61V7ikr1KU3dOt4PGmNfSO7+tZ2g6WJ99H7o4vy333g/P+wKuKA
9vcPIu345vE/Zo/i6VE8/vhATn6Hdw+kqpNfwCwRMBE1yIcH0gag4PEs6gAf32UMGdYXlABYMrA3
vR1X355Iho22bqNrpKiieOJM+qkY+lVxxJP9rjNBVw7Hh8oJlr17mk8anx5II9QUSbKauQ+zh7He
9/39u4/lX8XYhyb5p6bUdAXgEhRegOcJv7M+hwu1fm0SYN23e3K8l7pevtKQ3ad+fMkR4LURGoRK
Qc61ichZU/Kt7ngbUcXL1uFsZSs2OxIOrNwRG6VWr+M2XFH1f1NSQOS6d95aAqxPk8jZGKYHDQhA
cm50TYWQK6sLOevxcAZ8iHMrrDJai8UwkkanWtseTO6rhAhvGFloL4YmIu8UfNq3Sp+yzTDKLk1q
C+YHgXIXp+gGvcR8BmqTrRrNCeZmElZn2iQ8CTT34JSOskxdceeJwFgC28THaJryGPfM5wy9aFYa
As7ZIHJCkqIHmC7nDHk5IGbDuQygJ6R5scnzZuQIW137Vro2xuiCBDmk1mP+oKiSU7zZA/FRDg1+
CeyO47hqTXcRlM2VQwtYUcutQehOoiqbvGx3DcLIudUOpz5xd/HY0/8fsRo0FFyO8+hrnYTKh2bc
UxZtEj02kOVn9eQjsNwNg8iDMvLr9ERDX7+vk2CHF49jpXVu5iRHC727SI1xYWfGUpTVxh4qBIqm
9zWOxmYzJulR+LRU6xE6R4RZt2LVHZDfm1O0b6olMyA7uB9G8yoycjg/dR8uWzfaDsjQOEOiOfNj
sPtVVM8YYD+0preE6zPnuwhJ5W5ImA/yHVoJAr+7W7MwMKdbe7tGNdaMhyQyL8OMgUfrZ2vH7C5C
KbYF/pegj7FSwvYm0HwDgPM81NMrIkIpcOL0FnflV813bqmMVoWwd+5orZRePIB0gDraEGFu1PcF
b55aqF8r+ImS1FkODp4f31oYSX8OB8/FQxKUmDFy/lG3Bv3p+LPAdh54ClYEJtwHPubcHgL4Smlb
bpvqdSjijTuBO4zyoRXqvaKoV7UzOSUxBXW9N1et9GlM/FOSwZIMh+A8iUWypq5FIKo41yE1eoXD
ex5EQTxTM6T+GqldShlCh0bJeeFOytcosseFUmJVtOyr2DPv2rIOwGcKqtByenpieaVq5E+3eGn1
SlYLC/DlTNGsy95VwHoPiMggLkLxsY166aUl3mj2s6Ws7X1A3OIysuyvHARJV69890l4DbZbnBPF
rCvtludbdHDEs0Hxh1kcddG+FxFdgZKYdI+PAm1oGcyFkiSk1BfhAgqgoP2iqMtmNOktNz45Uu50
iMla9ay06W2Fg854S5yBhT2UZllv8xZRsGZMqQN6VW/Q18TLIGrPbfpqszop87U2Wmu/H73l2Ova
rDXTclk0VYE/KUoPDp6VZIK8nMaOd+z75bM1Dl+Fbzw6SbVhfbuIQy2be5qiLIZUOfcTXcUmD3ck
sa1+3oB8vwLSrvCoAha5bZP8UnaCsCndPpiwYllZ5ni/F/Qg2wUArjOnclgQMb1qjjzlLQJgghNm
rFG7ADEonpBl3MXzcmzOsWatQyu8UFP1NhEdOMxpQgXnMO8TUjt8EFkRkZqubzMDUoFfmJHzBGlX
n48j/pmZWcnsOtEyGOuRsTacIpobI7SL0B0TNOCRuBjdZG/oJYC1+qRVNn0z5H/kjRGPLq0FS95W
1/yWEHSGXenQ3dhKeY0OZI7qoE0XtWjD5SBBI7DmtDup2gXZTBPlJVJeqxq9xdDCEOZy5kKAlDgU
RipAWSQOwsA47Na5mQ1rlv7w1q+4AoqD6xyMHZ0x1du1JEfs0jjY52D65qljuLh19HBmFs61VRWY
4cmFh9Gpo68dTN9fWUl1bfvDtZtb4xRyBe2jLeqV1QbazJH9qqGDtcaYna+LoSrmKb84w/bR3omI
MIsphRHSQiRDdiWO62aX8xVLAibcTCyGrLi3u3Kby2jVO3DO6oLscmeXVMONGsbLLkrwcJXhTZvq
125beWC+4IYVSiwWhZ/CYm5jOStV9R6REfSR3qzuWhsQT1kgKEtCbnQnAjBIrXenT9hMX7f6ldsq
HvJT9XfZf59mH98TNCAbMtgnidvQJuHS+4mRnmUoBYI43zcwPYgK3Vq2PElRr35dBXyeZP/rOlNW
MtU1j/2nyVTbOCMdyzDfZ2k6wftuWJWOMOgfWC4FOnOPL2BIN11fwqNPNrUewmShS6HnZ6xU54wk
Z7GXnEK/vbTpNxhhO289xq+B/0J+ApZEHgFzdPe2GlCu/VnX/aSA+eknxJHI0aYoCvpbHz8hK2uL
qPGSfC85SwfDtRpnmBJ/Mxz1Pg0JsY44nkn2Io5ZPiNu9I9XqdsEN0PSdvsS4D4ReubWYHY+U330
wXHX0TVQujulTItT7nEPeupWupLj+VCyUBkIj+IMwSiWOOQC3lXOrtQWGM1VjBUmkMq5xUFjctbu
IyXa9f7/Ze9MluO2ti79KhX/HA4c9BjUoBJA9pnsO00QlESh73s8fX2gLV+alslw1fRO7nVYpjKJ
5pyz917rW2CwB4X3xsjAT0+2Pl/rIn1OQMAIklw281DhLBSGFyLX95JW/SbVypr8HSBYakXlRay3
U1Q4DMEkg2cuOdqExo64mRfMiM8jo4duAW2NZnqaZrNHOD9JW1kM8Ymglmw1j13IuakFwGLHpiui
4N7vRHZbDdAMbREc9azU6YOULY2iwesLtjiaZkzEAfOWsnKBTi53x5lJtlDToy8/dwQH6+aOdfHJ
kpBxmYPYTrH2BJUyxNKJx7A0yLORZOonjh4jr5mLm4AZs5Rt6zaDaiDGPcP/54TI5G+kL25k0CiQ
aMOTUjCMV5tqHakNEcjKeJ0ZRnq2Mc0JYx4Pldl8MpoWv3weeCGXdBtkN/aCRn37XhJNVOT8WXsm
he1ZtZvMncs+PRv00zC5hF+ChoZYjrBOGFBzItjMrKgnrgqugTAxtwTunFq4xbiTT3phPapaHq6b
TK/WXSfDj9IV4MhYMVZgJJYepUbIMZu6CxeKEM5a4jzCQiRnRY65uLoJsogxUNgU7AZds2rRfxGf
sjaymTmj8UymKNlFoiC3OFPuDGXi7DzhpcYkhP+Qyb4uJThxjEdM0CjplO+GyRS3HFgG7BQkz3jr
2/HR7GunKtQbrNs8IbgiJ+VG7+FUx+ENU43rzLQ3xtQ+ktChwXCjxmWsxVmw6r2mwypsLZ5ZNZZc
2Qftg+X3WeKZcEpbfRKq9CjCvnKrFjVEaMrEM0rjShoL3CX1RibUisRscpRMKKO9qyWt7FjWcDCJ
BhlA8rPNl/C62lt1KM+2Ne6aYnrGjPitIuIqNw0PrvgpQWzIWO6iwF9l5sZ6KDQAQxGU6JyMEju6
Skop2REY7xXN5Bmp72bl0pU1AuoSXsZesq+Gqv0RmZKPlE92tC5eMzxJHBSUrgKYh5bP0WjUTaQi
CbGQ2Hmo3p1hOaEmXXiUBMAzMTwURbsKJPJJQw3aWLFWEumQsYuHQ4B1N0Ug2KwryGv2ToPjtbhS
Un9YEzfr5XVWIvKvYjdNoIHiBZnhs5s2bqJBEPDYyCy6M1kCscB4C6IeaMg2yFsMytUxt3ROvW0q
XaTlok1Jzb0WgC4H4gY/CQs0DmHhDDIeoRJXa0OVkEL4UzOvIFGVxG2S/jwToNtgnfGYGVDFtK1v
9g+lLOHxkk+Gju1n9LVjHA7YEnyfsGwFmH+jC+GYmJg3Qz+7JeeGbTG10D8Nc1v3nELMYlFTY3sH
6SY+2dp+tXK/eVNfZS9vNOJKaE/4rJPuTCYAEKsTLCpn7LGrDxdJfSJbbPXxfrTMgd9ICV53iref
924nVQhkoLpgZSiKF2F+78fr3j7mweOgbT/+oIX8+LdPMjSdCQx8SFqKy8745jcbmravYrkfz7Mg
JgFDWLNgg271Jih2YYFcKBn7Q1mS74VRR0ActfSVERfkJsR4xgf+XqcR0g9Ntq5INAIxr3b3hItf
FLJ5k3J8o+rBO6cs4JLRzdtgnbXRlxxnhcQs/DroQLHoYdhu8Awd9BinkSq8SchMun1/k7eq+YCi
8aacU5dOyr5T212kKgciMHZ6aV8MSXCo2bZNKTkkSs7LJIEHsBySfR6ysvai1N8NpVjFKb5BCLrP
szzpTjoET9Vo1w9K4Lee0qjBJ1f1r/0W6/X2vb2o70ZRiaHlUe1b49kav4Tz18n6Pe/7H4ddn/39
7zYOWUo5IwfJdI6smzImwkC9++Sx+PipMN49f2h+EjlRgumsK5eRtkRLeXI4OR9/yHIV3j/kaOWJ
aRGG0GlJ//XRG81mAH3Hb0GMgdJ+a4eMM8ldNJqf3A3lr8/4a/tLNU1Ctml+cTQV7z5oiiM833Op
nDnGfGNTc2/TNQxsD/+687DKVw87w+mPX68jJ7wfvefUm77yRjfbz8JblaXP9v43fvNav37RNy+b
jSye+T/LSLvuXdmBuXDTbbKrcG17SzTiWmy4zmvhML9bhZ7tlr2nnfNvH192/Vff4u3T+U6EkvpN
aik11/1x3CmeuYLxdGmuLhoygN3Ng+4cDTfb2OdwPW7zG317C3JuM25Z91bzprBXjUvrzLVd6dht
801zEa4QOAXuPdPIs+xMG31n74oD1oO7bH3z8Vd/F3L59xfr3QlaUpooLaWI53JFUMi6eYHcfCtc
pO2u74Zu5OXrbF9sLr8dvW4HuW104j2i+j1JHA6bj2ckq+++c//xt3qVnb6/rW8u6PuEQrx1fW0a
fKtwZ69CZ95mG/+WiIXEgXMBW2EFZXyVbqxztVW+0EjzPv785fH9+8f/5z16t9qw1EgTGonxLM+F
Zw7DYZYSiI14pj/+nGVV+ehz3q06VkSoTj+n05kz9aofvsnjdjC+TlB0ZKJhyvXHn/brNe7P3+p9
MSnBY1X1Ku7OIeCUyb8ug6v/vw94V/Opo5UaBlSsc6IflJg+oG26H3/CJzfGXF7EN6+7lJVWbk68
aAXuWejtpfI4d9Ynd+Wz6/RucWtE2sQ9ednncbkrJAfa4x/M7X/cbj77Pd49YB3kky5vsuk89KMT
GYjXRmfOPlGBfvJ0me9WJcMPpInmHLsBQzXNRvyWtheq2jkmpv14UM49nOf/h/uj4+USCz/CXoDZ
b+8PehbVL6O2O2sAI5F7qSFNvs3Hn/HL2/PmM969NCn5sVIVauNZjzX691dZ9klX4bMPeLckzkk2
4vuv+rPMok0zOlHTTy7T6/740Yv/7jkOI4Y+fspzTG2wqhwoddvkRImAhNsJveAC2eHh46u2BK59
uNYsv/WbV0fQ/0P2GLJHPdIYzllVcWKtwOY8i+O861eXRBfzByvdgzG7sq6k1XXrLbv65VN1qe6p
2gG6eFO72hLhtPns6/1yI397dHn/5ET1IAufl05cLBu5tGo2qbbLhbNKNpr7kK/2EPIPP+SvFGf1
3XSAsvDJ6qUsy9NHN+Xdfe+lxggre+Is4fYuw/F5pRgr+5C61/bZOKqbzn1S1v4qp2O7rjflBv/4
Jyv0Z1/hlQ/35iZh95e0fCjbs3QoVrB5IWF919dEBh+6l3FbetnR3GA//xE8qc64SS4CN3755Dn5
q6D254HgP7vEu+ckITNUgwaPYHM9rjEjrqLlVLdLnNt+N+52EIdX8xnA4oOM1SBblxvzEj6m23nh
joymL3/kp//jSqkuB+O/3ZX/vO768n3fXBJLgoFMqdydK4/giY2RuuN6Xs/H6CBW34IdNCPH2pVb
mnrH0THvPAwm3KJ2k6xvIpLeyTTyXq/Qf0f3yyr1Z4t3EaT/ITRfdJn/+3+OzwmP0surgH33/X//
zx+cIn7m58QeA50KggcxsUXH+pWg+KeEhkBjW0MLoyLWxjDLTf6poYGgCGVINhXgirb8Kq/5ObG3
fjNQissm2wmiF4wS/2ZiTwDSX54kipZFvoOQhs6gDIXv1Qv15knC/SpUucr1i6RPg4MUZJV/M45J
zvlRiZLNoGm0Sk2S4qjIXWK40p1WQ2dZRlPbxAcok00KLvZBxksbp5a8XkBcjCp1IDvAfy2dEdoQ
gxpLGLNKdqyfzNmvVkgL6fgFWFaB3Nuz9aLHdMb6iaQF4IRz5hhhcMjH4RDn6Vqyema1Stxdt32z
U/rR+JKOdr5q4pBhLrDdVC62M1SRQQmuK5F3rgyj0W0UECh5Vm/bWZxtom4JXriKVOuCadUOSMMN
7P6NVDSPUmCVh9wvDlVo7+pQi3YM4x9TEF2WFN5kin4XRNa4ouxjOpSoJTLq4AkZ8061Si+W/ScY
4c+Ltw5ObEXV0vbDpgkjvrNm0mkAJ1PXcHrNwj5UKlyZpFYOSZOeK7i4gIiDU5Vpz3XYXrQEDLZL
68NuC2cuhoETabnPzMQkDaXd6jYeK1Zg4rFN4n1yoIEKfCPsicwBp/3sS49WHV5Ng+Y7YRvvuiAH
Ums2MwIeFEzWwm8XPm0ykqaQrj8lU7BBoE1HX63ndTDBOAvK8FuT0TydQNW5OWHFhHHuOV6om8xS
znmJ12hoU2qgur4v/VDz1PpHZ0zy1kgMGwQgGtGALCQgyT+ksYFba9sXVdpBmoyAnvRmdWvVFuER
9GoJ0LxKg2Zr93Agtb5w4rY0HT3I6anLwfRlyue9FWjfTWTty/TSJjhzftIIUSLA4ssoz1cV3BBs
wU9DCdO8bomxzzQ6fUNCsB1J7pk5bZNmtCGACw533fAyWugdGETjMC6Ddax036YQPCUWirXZJ98m
AslBBtZLnGJkNF97CAtHjAs4nrNuDDYtNK3UHfRJ2/D7E+YwCcQQvh4RbNRn9USRa5nEOmSsBi5C
Hhg5FXE1q2S54nMONzHyWwKL22htS3Ay4VAyHUYBFm6nXr6YeRmuJis2N4lkkYWHun+FymyvqrHq
wL5eqRU/M0eldBEHyDnMUS48ladtheGQSUQiJpnZfzTuAAbpK8aZ0d6yxnlj9vrgwSBvGa0Q0yD3
/Zr56jdLDi5gy8M7UcRJ7aqc7qx9NTUkeTdpfK6MEl2MeMD/Md3UQkqechFjXazIyVPxYgu/Lj2r
5YGsDTUB90ztrhHfOZJEjoeBd9biQLzJFHQhZi5DvRgYSpGJ4I0BBb4pTaeE2OnEBnXUYYJn+AsD
SImar3UnbQQxHbT56l1udOoiJdlLKE73IkgtBt6xQJKb118UEy4VISmD1wW9scKGyCAvNEG1k1y1
ZshFykc701sXymOcZf7abvhvh3qwNvmMKCFJmM4UGXlfjRTLG/KLCib+y/31DWZLmn+o7HCTDsM5
4o1yhrnbxwizw4HfWpY4hQREY0900TN6V4UNwjmea3RANs3BcBnAWx13iHKpxBdBusy0znI6MXrE
7Domt4Gsi4MVoJ8dSnkT6cmT3NebTmpu5qTvV2lKJCeSEy8Xyanp6mA9dQAhoeNv/LLcGl3zI1D9
0NXZPNxSSnlhQRQpyDSy26yJ06Md9pc5VxRBDWGPWcGsLiDBFe/KA6rF9aCVQHCtl7FQBOCnbI/4
CdeDGDcYon9vqvz3hLA0vv75hHDbFSCY81+cEpaf+3lKQGhLNBCkHmS2ugWR46+6PvQgi2pWw9e1
bOA/TwnWQgpZdm5Iofwny6D85ykBmz3/Ao8EJntQgvj2/4Wuz3htz785b/5uTychUSg2G/6r8+Lt
eVMgRc2kIssuiOPcY95YlmvWpoQoNwLc1r1ugNn105NWwtWAF03mOwkkUMnDTtrlKUyoQbnKBTk1
qtgPTfmcdNoTDUJ46+1pnMUxsLXtHBq8kMSVOKEZPDVTesVYJvGMLHvmjES1vjDffUBKzkzS8SGb
UvLjEkbcVtbmD4UaHjpwPsdczS6tkPfALoirm03Jqe3kq8HLqvqCCMHioqw5nZR2/Mg4jiin3Liw
dNLIlC4xWUOH6KIziu9kOhN9MIatM5Ps4UR9Inb6ZB3bltGwn92q0/gyafOJDN6v9Dpvh6kv0BsF
m8Lo8MnPhCr1xgWzqn3apsAtQv1ORewzF+2XITTWzbLpsahSa9rWpWbXB2i4eO2SczzE65Lxm9Pp
Q+TEJlmAopYebBY0QBmlK+vxMaxnHE8lPDQ7aXf5kt6doTNch4adrSVIdaOZXep9d9Q6qziX1RXJ
DOssIanKFBeoN9adOl5PAsRdHJNhVYtnVbCupNJjr/kPxJOvjQ4hld0P2D3S7Gs0dXcYDzBKwExb
iTE+Tz2Xrkq6K3n0R3KmjOy+0nbG1GBkJy+CzOzKJOxGttb+gBssQwviTF1/AzDO45+jNftr6rZV
ft/xNXxMI04SMUbVBmJnIplrYyELkKdD1XMf4hjEVCwT/lNMFjXvpF5HFt3fwf+OIR/2smHcaoVx
LYHhcaDNHu0MhgET25CNnoSQqA6vJd3fsfBpRzKmcSRU8S0kA/bAyM397CoLk+9xXt8HNkQuDuSD
E/BLbUtfEAol+RRQxRg4gMrXqsYAMDJ9Jy0imm1R584wEPQ52cgaHQsFoCzqsYmBT/di4UV0NWPJ
8THLxwI2tS3K9IiDGyBZyvEoKPDr5KNoEAXUDJGXcIl5nOjnCrs8zVN9V82AdsrOcjQ5ZjIfSRSf
o2W5yKm6VVoXB7nAkYeVcU3q92NkmEegP9d5jyzLjGyiq8Q8E1sVdyRo1sPannKeTFX5UubVjdVz
43XO3JM+n+XO/+73EmfJXr+2S+u6G3ySuEBUCt/fmRxJVjoPPcAFZE2zhf5M4CZRggS0GxvqKq4Q
k0nz9ByoM5TkhpNNyhVdtVK9b8kKkxPDExN7okgz8hgM9rtZybwpuZZQ2YWk7fbB/Eye4HPbA6sa
+9skFbjOrUskrqRMBbPmDArKVwAR94iu8lWLaDKc23U49QaqxAoplMAY0+nED+TS9Mx9nfYcoryi
xH6SwF51FUl7UcbmlMrSaUQ670XWlHscqp+xbG6nstWdwlgiM0zG1NNgmuhsi25RMd4QEFQ4VUO0
ko+NaDGv8H16IqCHjieQf/9DSaG7T/qi+UUzR0iIdF0RI9FkPBKakUX7wjTvyro6N9DAOFlpL2WJ
F4fwjCYejRUZ5ZqXDwSCGIJ0H3muj77A7JMjzc244gcw8hg/c56mrs2ftCwt1oXEGkx1wvmzh96Z
TsHWx6K5LcT0XBkRnHuWRi0BX6R2koNv6jS34UWTqhneT2xI+HxvhjgbIHoUl1UjbzC33ZbIVZEM
3YigUhzYPMyJCvM5wP1UGuFe4Zdzh0g2VsDr7iRjFo4fRwvyvY85iPJQJ43/1BvzU91W14zegm2Q
SvAoRedlLHArre1uSousljrh/qJOcS0VaeNAsMtCE/8a1ylLRekUoX3BQrfBUJEhEG1uJ3+4T5T2
oa4sFVFB96DZs7wVyiBcHNnhYaZF7UZWqJNrhW6nCCpaHfAg6ya+yQ11M5eIdPyEeiEZCV9KY3Au
duwQb6KgJ6CtVSv3vXE1NJRSj0N00EL1ihinFaSQ+1jCKgHK0BDAloy8OCslPo0yFc1Wjo0XwULv
idG+7CNQpJUm+VsJhjvYtTnyADR21IIaIYPDsSlTpuzK1hxTlt8IkPUkboi6OoToyUn26h7Mlgpa
rtp91Z57gwxvvcNVYsKunFAxpoUdbZSqJvWpjh7ENG84JcbHXGL5n6X6ZE+mtO6njuy4dgRyKFSi
Wktw9QQHgvkI9lSRkA8MQhNWoggQy02dqmy1sXgBLxGehrwFFouwWTcfYoI9NzVy9gh1LLhIEZKn
ExLogaSELLvAar0oIiiJ9Wvvt7N9IdQaBeMszeQOtdquN8NzWoeWhaZqmjbzCFYL7NdCzTfitV0x
ptfFSSmBQ+XV3vB5dLDIU8lJCIxrTb2PzJIVokdgQtLZNqy0s6Y1wTYP5Rd1kl/8KfjKlrMoxkay
xiQ3s0xXwZBHUcQrqYrCTcb02xgRFKgH4UaRiZxtffgneWA8or/vN5g1Y2/AzVcJFEmKMq+NXooc
yzQOARe7/NrKe6H514lvbiWJ+UBUmxdqOfqANzLhJKl8x+VnFxfpSznG+56w0nVZjVd1Y2xiq2lc
7Pn5Oh/lBOelXLpMFgmSrIbHvB1rLJY3OmGMRqrfZTY5yVWM225OdoNmrBGQXva8Jyt4jsBgyluz
0L6xuF62mOQccntRAxFnBM95zQIHclzDLmeL5pwTR7YyiTvOjVZZ2XF2Ydr1hAg87DwgpZNXjy3P
wxCkbkigDeVb42UjgQOoaZtVVCjPc0PAFFXPBskRi7NlnDnkPtLFOCLDM7EUSZ5AxYVqh+TkeN0P
yjXc6ANv7tbEbrKqhvCunJvSiaP0RIfm1koIgvLbg58WD3opHgc/WUj65kOjjKdihASMHZ3wADhI
QGOC+2ySc1gB6W6O9rVWn8YgWKPxStwusiifSvZoybjryv40jyQU5NHXVNP3VYJGsVGnYz9a3Raj
a+vlo3HKhJUT9MFCKIUbwo0Mt9K1bVIox0GeIduqqhPoOACM2XiIhyy7VPHduwFU0pU01IpLOMK8
6ju7RB6lqORKQqIrMTigia+3jaYAuJXjryZedMcau0uzRFZl14SMMJVpjlmFOrlSh0Mam0RVkG+c
kIy4sbMh5swJXRqbQoqY+dZopb0BvX5jhMWO/oC66OnVmDCgHr7d79OW/5ZjgiHJP5djx6L5X/8n
D17Sl+YXfVt+9M+KjAqKhi3VDnLdvyE+qIIsHRuWARxwAYP8rMi03zhEILwFvUldtjRn/6zIFLgg
FqgOUJB0WfV/Bz6jsnvT/1+6v8RJskGjN0HPacrLn7/p2saWSRsjh/rSZd5MpIQfbrTq4c2Fufy9
unvrtgI/+4tPgQ1JaYlwi+bKu/FT5dPu1Wc9PrcF77FbWDJUKVYSy/FVJfFijqxOQc/saAa8YF0Z
xk46+4eetua1XIZXaWRtFD2MeM1kerJC0h1hdSCmRYQqJWA2omS7rg9PUW9vy04c5Xm4aiblVM3F
YazVi6gO9nKcQDvug4Dzf2WvzSUYxe+QdUaK/V2MwLWNBDV13BKVDobpR4S0mAxaTNGr2u9smx7b
hHhYInKRoFxjP0gzuolhNN1WavCP2KjHxm4uMMm0OcRLRbv3UbhvzFRXvyjkh68kmEWbSE5CNMxd
VaYeQv8EYaSAV0wC+ITxiVzIHW6RFrKainB8aiZaKERb4nCxQsJX1FK17melMiDVK+mmlmZD3wiM
9nPllAKnX0W1l7WTv5JHXbqwKkU68feXbhMVlMQArwsp31h0cVyjo9cJDIQcVNOKqM60ZN/B2rAu
+bxG/aJPATEqylRQjgbUSYVZ6+NlSLA9qROTfbBrw9wDRQ+eZENoD2zRASfVCcBim3fazoKwUmMz
0Yd5a4U93WJ5aOy7orAIIM610pPQ/LpKOYb4INBXVgEauV7RezTMnem1XPMjMY/Nc0MDf5w4iU+j
xSZURTsJOrnHkJzDDI6pawj3+1ieUs8uhH0Nf0TgnSJt1ppsmDVlBhcm0dy+YNBXRQ9WpvdHbl3v
GlU0ezU+chr8bDVjOkZ7Y8Yzwrlp3qAZFU5u+9q5QfSPmL9qNobabwcth8U+Ks0VCnPhWVJ2ivL0
RO4kWp46utIKfWeFHQIfI90WUZ64gSpfNvZwg1+lvwvYUX4QC8DMIXGNYTR+FBR+egbdzK/ErSx1
68BoMUEViWdL2Tqx6ASOdEQRnn9vmvYF+czLFE/3OHHdWu33NuY/FhBwqPNGG+XTZPWuasNz0JUj
IeluUPdfZb1jNCCt00HQZsfV0E3fcnJrg+KbT4PFHYxU3YxmwJfQ+yfdYBOcDc0zmqSh4qLRKw3z
UcmUnRooJ6PsqFSSp5Lb17QqvULL9PzeWAeKte3k+Ym8KC/IfKh6crVSibxdEVMk78hJjF0x0WQ0
zUt+x2tMOejlozlgBoANS+vl6BRqBmF9vnLVpnlD8jwiXmXkYaZYSivO2pyeeMqy6WDzElFMYLes
XarYo1WqR46eDxJQhUQ3bzoluMqr8gggyOnxZGZdfxXaTCCU0lMoM7wgGIk/StBahgMy6roonKCW
z4mUfCkS8aVMsn3UJIcixanYiauZ2iAl57PAKqJrMUV3NR1m09wi76I/TWpthcK9s3XXrjmXheMI
tmHYW8U8YUHI8z25y9+zyTfRe+apOwXUe/qoJpvKLjfYGqTreZKqTybeSEr/vvLipH1NHIFbwv//
dX0PJ5E1E1lE56JKFK9P7ckz+ylxMxKRj22mDq7ZE0JbhBmk4vkFeGRzVVWJfGtRmK+KcbzuqAlo
zbiJbT7IY7shTuhHDnDCLUuEz0FMEDNTm3Ux80ynHLwLX28cTIfgQiowTqbVbkmK/Ep6dudEcXOv
QAv2egH0XciEIKS5M1ROM+5ESdOsRS4t4nqjaP1lqhSbJjO/T2l2Q/zGviNFdW7SfdUpR7MsjjgZ
7U07TAQDTtFWGanWGuiOhk/CYKjFm4Ddz23k5lqbOuGUobGXQ5v3Wg1kojgESP56vMP1p61sg7GS
MikXWjTnTmUY8IGj5NSX8zls4l0y6BudnABO3NXOzxPsFhZptZmFV5Ezvx6UxzQgsNbMlYso5XjW
ZVv2NRI5SgKgi6lZF3F9kcTpNZB1Rht5n7pGTm2glvLKr+vLSIUkl80MIus6vtMmDTzvGNGrNA9R
z8M08oBaDNaSpFoCezeixBqiiac4m9xMNRyDnufAOqQ2xffCNo9yRdsLE+13HyvIqlSqFQ1+MufS
TOykclnL2mNkGo+KTIyaTN4bkaJPU6YIJ26mBJhXcKHOunBfj/9aGVtbMn+7+0Ll7El3pD6lpNLv
Pj4k/FUW9HoQMYhMsEzCzshesN8dERh2DMC7MrJz8WWq8b7GC/LxJywCkzet58XtpVOjIqldlDCW
oDX+9qijGoCoLTsIzqkRY2a6iLpoG5XX9UBXkEYBFdDajr2PP5NR+yef+k7w0ZVJW2r0a0/yhDhV
4dQ/8Q/sio+BxtkjhOTgtJaOw1fd9V2eOP1ILHCa0yKSlahw8np+LCTzCK8GsGoWrlN7EF+tUDPd
TI7vDCsbXJTVBzPVngw/GfciBYbC05QXXjebuWeVEh72kjwGM5+mXTea6tcij0kYJI2Nqjv6Biux
RhNphC4r8OS2liE7FCk3WFFnBojJHRMxZZcFhPpM7XeGTVs2pdumrtdGg+VB0eOtKocSA2xOKOmQ
5xuANbJTEeDs1oNOGno0XithDtk66ilgAkpGm45z0/+omoFYuTLa1Zq0Zdx8O86Eg8jJXm/JEa0T
DmuRrwIaayNyijt9l8zxgYmzm0++4qpge9lgElZZ+aGXMVFHcYZBfdzkNQYtf+YJlnGKBZjjgIYV
cWaR0BZbbp36pxKnaaCbW1EYVFvBeBMa2F3GUrrtWjA4BBTKzmy2G1IUAYt3xbMRVKdazq6qMgNn
PrarRux7nejVXle3JkNLtxTiLp/CLY3s0e3r7oyRWFtiv3Z1rb2AZeqI/sJyq2uboNSO5vCZnOc1
1umjZ3w5iL85zg8aRwxl5mmjj3MZnKV1dajuhw0Oyq1xtNh6nG/KsGL4ecq/DJ9o4F7tX3//8MVK
aQDiFvY7hZcoQyun7SKdSpeYvaPilOuOyO6D9GCuZU++u5Cc40PvQeXsn/mf9Dwd5dU+WvtnCtTP
JG9/3fhYQHjbVRgSOlh8yqj3wqZJHpidizg8h/JlicQwkh/qf8la/ttnLOKqN1d7rjO4T2Easrm+
BPXWnj7RzP3ydzDR0oDNZmSmvrub2WjMDPcrNm/psrJ5H3TOnL+vUP8t36mLPyrfn5vmJf9F5c5P
/Vm527/ZTA8ozVUF4cK7OFt1+dfWH9By7swflbsmfkOghSVXl8mAIwGJh+LnLNX+jQLM4G9EdsUW
xAv0L2apQuervdnQUFyxnSk4oNh0NIDir3bNN48fS/QogSMaLiYgQAwwep8WW2cSSR1MUUhWtn9o
5wT0x4RZN7kXncBpirQ4anfljEFqpLWeHBuScmYvhgQ2e/jJc+rXIVcN/dsSSUn4QVn7swehDsEI
IM3tCLjA/mHLmWhvpqYh2oyurua7/jTPNm3OYmD2CsJTmr3KCJQZTEUyEPI+4xzG7tYFo/AyJahn
TzNFhlPHesU5JmLTyYlFyHnPvniXConRpoloI1IE8o0c4AUn7X7ajurUxT+GJfsz4JApc46PyVpR
bVvehktOKCM2EkOX7FA7IL+JJMWp96S0NlacLlA7hVDE5IxJEaNo/Wu/2DPnJZe0fY0o1atAIzM1
/GEMEoSz3PqBbkwjehNbo1nyZ6XEnFPqwXDDJRsOYUB4vbVIVIIoY4rc0mGGHQkbaclPVUCb1G62
pKrWsiQzUCK3QiyZq1atoepacljFkshqLNms5ZLSqi1tiXQkudUq85fEBA6hLqmukDO0TVO0kSe/
Zr4GJm5YvUsvE5lYMqI1Ob/jTc+qaqAmZaYeWOpL2JAkC/yJx2IJyAT8XUHlC0xIv9JXiG/B1pjT
Di45ubRhXf8wB0xs5ZJZa2bI6NyhJsk2bRVzw8Sx2dtLzq0ihfGJ75xRPZKCm+BxjTpycVEgIqBZ
snLtJTV3WPJzmyVJl7NiQtVJuu7Q4XbMZxJ3M0t9THOmJcGSxsvuyEF4oLIrlqzetuyrVbfk94rU
qK5IQiNOYkn3NZecX6YcFSl+S/ovHM50Pb8mAvdgdZolJXgUZgeIpqk8f8kQFkwNnMqP/2DL/3fZ
FMhC/rnreXr+/vIrtNTyU2+WTfZdEmHQkdiLKPQvEhRmxrQ8aXRBjzX4o58NT/M3cJg2sb+c0P9A
cv5cNo3fzEWgavED4JrUfydU1V69gP85prBsWrCWwRlAfwJ8ZS1f4u2uDX5gapRWBBc+EgdzyrAH
N+SapFN9Bnr/AJFwVUKtdOdo2pugZTd5FlDxdFtZiBdN6itnsHUOlAPxNGZ6GMmoWc12TC5jz/Iq
SVfLMXfVFmShWVl6L9uo9YiitT0tKr8JRrycsFHBdyD+Rf9kpNkPESckM3LsB4f9xbBTV6Lnck8F
JG9zit4gG3zH9PXe5WsX667jQBBJvH9CeepSmANVxNLaqBovLJCGNazPH/3QvKipTssfealnFTEJ
NnV0UyTh1Rjk2EqHe2lCz2AbQU+eNI2wRNL3OuIWtzNCroAdQvk0i6+WHn8De3OGNWngludX7Goy
sptSXEqpuuhUTkU5H+IiguxW6zKNRuXy/7J3ZsttG1G3fpXzAkhhagy3BEdRFCnJo25QsiRjbszj
05+vlT+Orfi3K+fc5iaVKpmCSALdvff+1loiTS+6tKAbklw5wHRTkFOU7Ry7GpAjj09hm2LmYjCO
zGKyvJdY4Fqnp++GYb7gWIcqWyeqp7Vy95pUyfu2QJZeGLetHJttmtvFWvOXY5z7V3E3Hasy1gMX
bSYD4eEQGQzRoxI8AN+fclX2QttqSYuLP4Pw921Wyr2PIc4G948USrWzrsjsYYaYTc/sL7jcDLER
6FIHXSxSj1xfT9tUkXXt1Mahtr0Kci4Mb2dNEuBI3uR2jihC/LzwlbrdCWQv49vS0XalyiNMXGr/
+mHWq2XXRszK8yqmpxe5Ce0Te+vifXcg+XzGbiAk4aEmhNGV7op2wlPnx0hFXBZF/J+LTS6pKaYi
fMjd8eBETXXCDHVe80vnNcbV+DjJaa0vhKiHRrcZpNNemWatpo3x2oV0XqeT4IbscTnUW9vaNzhG
BVG/PGHvZK2qtqerodn5Ks2kH/Rh6e6T1ESoMXsnWFh/7U3OS1MNhBf6xo0cOxlYHbcyrbBpHQ1J
vq0i2vmG5twT7v4wuBkzRVpPOMW6+b5rJ6Ieo/Fem8P2ENIsc21LrsYCw0RwbhDXfuA29t0L/rPT
qrZze68V4rOfml9oEu1cbUL3PLUnrUDhHWkeWY4jyFhcf5l9e+bLx7VoLVvfuYXA6OwrY2EUQV9D
0OibmrlYWeNLPscfp4hn3sTAlZ5zD/7jTtvZ6qyLOxafR1khFfUSziRt11OlzR8m2pQ0lOAmsQzC
4dvP1tgYzEGWlR+9sh93Y461Y1KC7jYJeEscOUfGl/Wq9mJmyUK+W8rw3DjVdT/57bov5dekq+9N
Kz5I0zvix3u7dOlxWZgo02+MNcyUUlDrcmZXJECeTb2x7/TSGYj2rodtPRlHz6JZTg/tQPCoiUCU
P9yP9u1oHzlhfHVwDG4zFGglU8VSYStkszyaqjauFdJST91IXofCXOBdvCmawh40rOs+yghAajvF
lb0EsdaU9xamGh/oAI40dE18vRwd1GxvJZ54iLJSXHUACNElj/LIO3S1Zj+EWKqGp1RA+xfQZOve
Dz8aNHQ3YjK5NUIStkPul71dIqIfU1jWkftuIyp6pdyFn3u7x6aNUxTTlT3zZOU3AWM6JpEEwQtv
vWU5T7KHo8NnLkBhcMkRlb/vyUfbFFXC8pTlJvhu+jVq3NvGgeXXRrGdk7baEwWcB27l3tEapw07
fKhFuWx5inde2HxYfKxfan25+HZy7DMk9/A0j4by6SvlCExX3BnM5YOuC9t9nWuQXm14njPdDOaO
yGONkDxIgNHIDrKkv9Za8tEth5g0nL4JkNpeJ1n6xfRGVoPpywSYI+u5Wi0ezl+2zXOYc0LEE+Cd
Pl0DXK2LbO/Bh8tlR5Nqpw3eOTJEAoyRfnWsmJC/jj6kRbJonmwM6lwG6xiF5EMNyl0AGC3WhEce
q19TFNFWWtinzTOqotRMNl05ob6yi5016EZQjBycTIb/SSo4vjfudVjVl7IFz8AxnyEdYHwdmzc2
JmNrEWlb3C6I6XXlh8wpL2VR32hOKOHrGHh7w1M6OvFunPLjWE2YrE3M6YkLFjVmBlVynkVZoJx3
rqowBNJOq22CZ1DVeg8MQZOdpRN742glJmgIPqSVYJBIc1LOeCnQ0Xf9zAKptl+cwW+248Jia3nd
MS2oLlA2OPzDaUvszZUNNhj0SQwk37gH33FZn5FUZANOVlpyn4fFY91jHcaxMusY8Zfah8ziq9bh
SZq+7Fhuhm1hRC+p7+8F2Telxk/DyvsKDPJctcaxMOPd6zHqv/Okaoj+6jzZJOBNj/8sxNXrvjtR
WkrCRDwYLsKwyz+cKAmltAiOUBW6Swfl7wMldr6GgVXRn1kYHPP+OlC6lOgWLsSMom0bjORfRYdB
Q7+tw+k20QvixGsxzjdfvUa/q8NTDAJNdzHjc6HD+Z9isxMPk6HH3kE0UkYXDNHF1dLXzoMT2yN9
Ik0ibhknbfzcLG77wY/t8t73E7EEqdWP5daSbvextXq87fD3cTdOnCKtAFacFLU4KX4xVySjOTkX
jwQDHOTOvUId8/kRuvHRVAwkPVen9YoNuQc7U4GS5qyQSdjJaSASHZaShieRhgqvjJqhDSJ9fswU
elmPQJjMz1o6nICZs0I0fVjNXA6ApRL2RPS49ERNg6qefOjCubMhPYvEMdaZxcAmxJ3FazDNggqt
oUMrKNHYS8FFFTgqFUJKZ2DZeQorZbzM0AbSNIU4HSBPTQjUzJH5NcnPxz7O2IpD/NTtFqLVbiJE
MWPlYUCY3Q119b62l+pkwcisFslC2ChtUkNu+mq0lZxFobGdxYx5klF+LalJF/hZS4G0rQFE1evN
y9I2M+KRKd94bb9Hnr7T4XANdrDKdVM2CT8grxpeFWaX5QHJj+JvagX0RoMn9onk/+xhAoz1yw8S
/pel6taz47VX5U9GFr9zFCjcdal9HcIOI7u5TRRMPCisGOkbbpyEUUTgIwHm/3exYpAbwhVpT0OP
y+PC9L1SuDK5muwKEpiUk1gKAjQdJe5FnT6ieyrlLlfgs2n3S9DBQqPD+ZAqONpRmDS72QbvMkUI
joGmUOoYptqugat7dVBGtg5x3diHTiHYTMknsMoe20nwbGHFN1IB27VCt1MY7mZOv4QK6nZiWDEB
5+023kfH9D65YRSYcOB5gf59Un+GPtxps7etw+WcQ45TIGz98MLNWpKl2V/nfnZZZuchUci5VPB5
MyUc8BSQrkOmdw63nQGrXsJHYXbIH655HzWXKqVTYLuRwtBpjUoXz25EVZwtGHjbdy5DyzmxU3h8
5NpbzaofbLj5WJjvCwXSOxD1FWT9nIwWDab+qPlMQoea7RcKH/EUqP90apz+xYTSb6H1Dde5ThW+
ryuQv8t9yDMF99NeeM4V7m8u9Fa8KUdDgxaAN++sujH+VCuZgKEXZxPdAN3/LVb2XzQtDDwlLHCV
xKBAa6AyhNn24qOrZAgQ+JiNKmmCpsv8qOWArOJVuKAkDC5aBpo12aZD3WC04adcyR3oWdJ8Yxro
e8t1jiKiNzAPRSExOsVjh2JiEVwUBUVagSSG/iFGWdHm+s5GaWEpyUWC9qJXIgxYYbmdYYJtUyXl
GEgSUWz4fWcdE6ORtyRehe3VNBhqzi0HfC6x3vX9GvAg9T4iZCFJriywHK4Z+m7rXMcyqUV2Ecmy
XFeTbV6m2b6ivW3cxDxYAd+5IC4ZTbYYSAfjHDt9XGoZ3TWGkR9TQuJ2HR/BZsy1fG8g+VpBKroW
cXVhpK8Gp4v3nWbR1mPQhHtgpRvIF0j1+2+bfnX4N2lT/2KbfpHP5VPys8QV9cK/9mkkyh4qXzo1
ZGkyx+VH3yTK9h80hfCox9VItwHXvm3Utv4HTDWG3D5NZYzDlS7pr42aCCzmNzrhoEqT9C+a5cLh
t3zXLGf+owsLw3MP73K6Uv7b6a+LCNej76ydYUGh3lk1dXt5CUegpUzkzqq3yOSElm/mqMh3elI1
dz5SpVvTHTQwX7eU7l1E9egBxs7Wum+N5iPFojs/CY1104mxqjaV3i+tlQbQ9MDN25H/4+ywcz29
wTEfrSBBAdNmqDR/2yAklFWmP0U12sLaxGS0VHrDsUf5OCgNYlfyby2lS8RYtnmoXrWKSrW4EAF+
NUr3Kk0bazXSJRcxZVOL2LE3+y/FhAXwoHSQuVJE5kgjPSSSs9JKFq7YsEAMN57SURZNGm18pa1s
ZoS9s9JbNhmjTcLMV9bsZxuPjXplKn3mAitiEpV4SVuEH3LusOxTek7D+JjYuPm2mPgkdRSvkZHd
kuYiVyjCT7PO0cVjaRxpfrXJuHU8SlG7y7uVp7SkrlKVdkQaX8lXpanSnFK+6pv2VYjacGBgQUWd
OlTAX3wt2tlW2lWBiDXtMNnuEvuqVvrWbCin24Vleycx6bqdkMFieBvvfaWMDV9FstmyJFu2ABTa
gSVzdOZKTtsoYe3yqrGdJhQSdCxQ3qYxcQkrQhXCe0xDq92QppW+4caWB9kMBLO0aGJDR/NOiU0c
2YqYmxNxma0nT0bdh7dGH3/OYyFWsXQeowZgY2ypTg3b/5wZXbQJu+orx4wi6LToOg8RJnjpfM7p
dgTxXHyNF7FmUt6dccGfgwIn/8BuPLJzJIZ+2uAcmqF2r0wI6GBI5/s4BfnHN3dnx/zHbyi3J4F1
jz2Ppr/CuXfkD+jMntTTZhhN+zSISruaLRclNOOFixAtZWxDm0DHYFlYgYm9+rpK8+6adAZ6ftxo
Z3rssOS1IL3VZhHXSlzwG+b3jGH6HVFxD/kAC6lPBrbqU3s1ToVFmkxkbIUdejdo/Lda4T+bWnvt
pMVt2ffvQ806tZUL6mFq1c2MUdbBdBrVvltQPeACW3Qix9w2DDee99Jp0zHJYWJs93qOCRhy03hX
I5ByKOV5z2cUONcC+16sso/CSK6LmEIw6UV4kh69ncKprG0fR0jHpohonvzQpOisar4kL+YsMCZw
ISne6DSIHqN+5Al0kvM0lMgrMLhdad1QoPGoA8PJD34nNl7TPBYNcw2AMQS4Xx03YWkptpzqt1VW
B/rQllBx+l3V4llfpQeX+DqfUKSRRNZV3IFGUCu/90hH4tD23hl0D7jeLx1a075zFXrL16o27sTS
H9zeW1tFsXG6ySIobjoKLQsY6z3GyFGcBrNRVDWrVHiXFodvrzSf/YxnuMitl86f72xtwiStrk5z
vZBhZgcV3zFMD7J6QCjgpWBYdCjxsHhisvJuVPejkaUHHLQvSzmdC4/+RIofyFTu3aIMWEg5WAjs
geR0M9dzYIK5ybBfa2h8SFHZcVjck8sVFFW6d9ppqwmFh5nJk+Nh16tVew2lexbjVV+VZ1np3kbq
5Q4LHWCcPrqYHcLrIdpPKIuKUrumL7yd84S63VzNuDnVPCLMbAOcM9e2rwdhl780+UuJE/MEO5t6
OioOZ5WM8pOgM9guxNnZXKNr8Gk0z/Si79vO2VK20NSY7uzJf5enC9kHOcLrctR3hY2Pf+hzB4aa
EjhtPb/4OjOKZ4Xb0jgP2thbOx6WAFEbHyyDweTSfNKNjiOWd+841Scvbu+igbTK4lmSNVnrOqDr
ZKxcS0kW8YILZxVou4n1OYis+BZP4FM5WHccNr8aWrcyG32lj5z0dX2v+cPea7WtHuf3qSivO2G8
p7TBPdRvV46olBHzsdX7LY/iTet7W8Nqr6xw5oL1Bk9+zD9luy5rdFEUsE9jX37iVzEpILplbm2i
ntKYdPgYZaUcH1vZBtLTjsTGHxbNhVLGJnVoMryc2STiKqwDpgMZ+cHuzuyGjwgIHzrsKubKPTDk
YVSJbUTZNXu8Vw/6VFCaCR+sb/g0NvrHsknvSKmm8TVx2uz57PwNDjR7txPcnS5hNcOtLPNjBYo3
aP19nrh7bwrPobUcpF1cDaFxikswGtkn2yKfL6TK00NCsjd6t2njX1vG9LnCyAaRTI/Drfc+bJzb
tmnPshV3mC/oK89o73sh1kNF57ZZqNtEfp2LiCS/Wl+NjDQatVAt5ac5645mI3ZVhXd1N1KfYyk1
qkOPpLMl3zfVfGWY5VEz7fishXr4hdF7ft8yigwWs7tqmA0s4xgMmJNoWvpMg/h92hU0n+AJV77b
fSY2moqNgIESE47EeHYKjWCB+lPWxAfdNM6st4x8VbbC2B7Folik3M2CRTc+x6Kttr6VvSsawprr
KdtllnEhniylmq1WkoiSLQTDPswc9I5asUmIzxhA7d1ojAJjNtdZDr4Yywt97l0aTleTnJ8rDTS7
TR87MjpVqBBPAOlnWLZt+j7aNLEmA7rxdM76oMjZJPBP2Q+aR5I55tiJvosGd5vo00aWSvuFHhFs
YNlOhTzOHeanHdnRdIiRZlWBbKnPkizQ4lG7kqbNvU6rD4lMY5SHXOtOCy2Stqmeek+Rpq1PltB0
Gmx6qoXO9vfdkfYnMoU3tM3rCZHmjsPoQcFLb4mhbmyapk+kdtYLZh/ZqkRPSg/x1xdRGOPfw8c/
j6HwUYahWzhNWOab4SNjO91hcqqdJ+IomB/0n6cS64V1AUHw6yv97MD7/ZXeAJVlWM7GEnIl07uJ
bcol19gsy6FEgdg/JKUT/PpyP/30eJoQeFAMMjL7capqMg7x0GRFl0F76PpjHT3J/OnXl/jZO+K0
zGGZy1j228FtiD+37s9VfBnsIB13/Txv8pjeb4T+l7qvu/n15X7yjmxMzmkSckuYeCT9+I7UCM2c
9S65EH+2wtx61Ue7KvvNe/oRe329H364yBs8tA21TjghF0nppnXNderH6/+/t6He5nfdyaFbaIFg
FHNhZOgAEmflu5Dx468v8oatVc/OD2/jzbdfZXNWDUWbXCZC3wGx/eRiYxbiu58Fzb32bPbtb674
s2+H0TXeNwLPChitH99WlngkN6dGcnHrW8IQEdAe3PDrr9/Vz64ByeWQEsp9YLyF50NhaY43NOkF
T/tN4eA9UwZj/v7XF/nZR2cB+dE9NiyXMKof30g5xq6bJFPK9/NZOtcxlWLKYuCH92l/tJkljuHt
r6+o7qk3axBL3N9XfPNlgRwjUTBmRvQT8Gr7EeOw3ywGbxwYFd0mDBf+Tbl8ODyvbxaftrTBrCaj
uKTXzaE7sHmeMIfaiNv4TgRo5be/d/f76Zf13bt6c0ngi2KCHEovgwOTTO/R9FkUyv3/y2dHo19n
5xR/+pt89zShUXfcDvD6EtYo95nGet1vPjv16b/9dkBnuNt88jfctzd2RdIggIqWXlxKXxLgOW0+
JDYpH2n6m/fys0/s+yu9WeBgvcuGlmZ6McRL7N2K8L5efrO8/fwSxDoaPhpH4Mcfb+7EyAbPXqLs
IuVZAANPibkye+c3W93PHiFutm9XefPVZ80Qd3PEVZLsCYMAcio2jU3eTh9k3UXLdrn4zXf0j7cF
cUlwL3Z8bEVEsLxxTSQgGjm5W+aXbtjVzcPobOrl7l/eaG8uQS/t+2VbDhEfaFznl3GRK0PDWSMV
v/nY/rEOvF5C4VbIQH36bD9eIp2mQsuptC5t/qQtB4YEv7nAP25lLsD0TfCc0HgDxf7xAiyd7mhI
nHc55xU9zFR6SFAPSv/l9bP6b3hqcaf/711Z4h7/z+mxeyn/OT1VL/yuK6tzkzq4PdoEPKs0pW9d
WfMPYRr0Vl2f4+hrCuTf41PYOFN1Sx029x8EyIxPuWFo2RLQhA753wmQf7wJlW2kxxzWI2vSZS83
9Tf3eduPPUKReTzr5aWhHCZN5zcnhX+uDhzgHK7EO2R7td/chVDMRE+7BNu1dnqVuB80/eyL29be
G+FlHG5aY/Pdl/CTOoKeNff1j0v4j1dUf9F3m4Q5IQ8jq7E/pxX5DjQ8OzTDwKrKSaRsb8em9K6G
TlSkc4gQYefWSecagz8ikDZd0bmbNJLOw2T65gHcQ0lPKyJR2hIzPC/GdSj/ID3Gv1WjPw9a9hUM
/JN6ykrgCBrVNi2UCKcAuAlBDzb2Ng1JkRyTk2hv4xeNH1ayFeQObKMKX5dwnojTmeh9uU1PY3fh
ABKayb02MmTtkztvGI5M4BkQJuhm65BvCQK6CD1kwGO3xkpkNRPPFRIhu6Kft0fOfBli3P1I1ZG6
IvzS6Fj6QB2W9r7RAKAH+TAs1mVy4/3gLu3G6Nod8qadXXlXMarrVeyUI5Z7TbsDFTuRw7Lcu51O
B64RcyvvySJ39k6NJ4SBu2gNrtjdLhX2TeS+Nbhy5ZF93emGeyOLRext4hfxOLLqL0xPrxmFnsDp
ris3OUzZeGr8kECq7AYXko9G7uNEpSHwZti/bWhW2UJ/ZrAmNqOwT1NlX4U4/wxZdd2F+AT28wEf
lYuO9FqG9TqZiM2cp2uK1XLdLciOIzEe20H/SNdqY9sl5bBc3ot8ilaAWXTLe3mRWbfrvfEmW7Ir
vUQBOVVIkbOOvb+ePJxJh0yni5tv2tR9X3czh0NNj7ZmUfWHvh+7XR6iRPaSer5mnkoF7pn4fz37
2ni2Y++u7RvgoJhuexwT11AVV2GeXHqp3Y+DpJ/D14Lp04ZBPOBQ9+zGiIINJ701o3Hj90WPjtVY
+6azttP5lvkkKRPVEDijvRubYavD/XeOR0qVDhdX3jOBvxRhDSA7tRCweTbcTXN854TGoRl7puHe
JzuTweSK5h3xORamHs1XaTE8DH1AS1L9lpBoMN0OODe86CPGrT0WG7aBRY3rHxAhgvxYjLG1EUYs
usTJcLJRn9Wi2E26wB4H84ApPLYtXX3wv3bpcDTUbjhorc1RO+iWgytm1IHj0ua27JBBrPXBBmgy
eUKCOpNYaIkcr89R0BzOJaZcESmQs3aVtcu7tgKImvMO55byPoWETdOB2zrET7T3zEe/Tx8BA05l
nQNp4E8UjIAFwIRjEYhw8P48vf236Znmd+vtP4ySTy/N08vzP3c89apvOx4jRcH+JBA8Y7Xt8qNv
O57xh2mDEfkMATmqfzeHtP7pdPhtDgmBbmORwWNvAQ7gtfxvZpFg6z/sD+xEBBs7tElQD9EoYRH5
cX+wNJMBQJ1lZ0O3u+bK75JKxxewsDWo0swdqTVBWIK+Tutbw8WqBncLxGZ7DML1MN1JhR6ruUvn
fWCUUa2qZHhnWHZz1CdiSj+FikZ0OtxvZ7o1QfGKKqokRYQy+8oUaF0BGstsPk8a1lEkJT+GnN6w
gcqOFRCkdHDCccEiJ/DISnGSvTd9ABl/dgAoK6vkF1hLtY8msR2wBWSJ9W87sMuhbEycuQoGJ4rJ
rMYuex+CaWq2BZGizyjzJ+PsgXKORYqeU9GdkeI8p8bbD06FLiQb96FjfrYVEzqWc78ZFCdakhew
YWtP95VV4POAYQXkRQj2Wcef+qzu1lJU2S7KGPgvavRvKQigf+UBRoUGkKtM37d+JQZMBQ9MCiOI
Y73aZAotaBVkgHt1dOcq8MBRCEKpYASCz8U5UYBCZIAqzDALtYIXYoUxSAU0OLXb7RoFOcSvvMOg
0AcTBiJUMIRUWATWwGziCpXoXqmJVAEUoUIpvKqh3Vn4cxvxN8g6ubJdzTEOfsY4dWvicTbMbmZ8
MWrLXvccJtw6TU/x0LPseAgJyMqL8dJdkbi21UVxa+MpOwbY/mEy3WQvqBY+1m12Xerg7NjO7XJo
1cAVgn1PO7WYTKziIlkLnMSmWF5VZvPZ1LLrdMQspDaxpozicdPF3pMNFIofFTvqBH8bd24G4z8n
5sayBgt/ZBGnywk5nFzp2bjJKrVQ20PIKDc+9EXIehjSap8c09sUS/S0TNQaoU7aTOUzFiwV1CN8
GTPjFE+MWxtFFGUBmrR2bcXTpje6tVvM76Opm0jFloLhECG088y8Gpfvm84Zi7WnC4BfQgEBOSOA
bf4lBsyrmPmCS9cwyHSl8hA+jvaLjV8Xu8dan/QbV4yIhBvo+LnC70LXu6OTTEPA6NEkkKvVkIuZ
D85EQnQ4l/ejO9G5n0ea0bJ1ca6kVwMTvQJ7IGvIdV+KMHrOS5g5nq6gS8l0SKnme8HmMg9MgPXe
Dfp2JmDOYNRJl97fetz6umFHa6k3HcbloqN/ob1aOiapW2ZXsu3Kd6/L5n/7h/LA+HXRtE5eop8V
Tbzwry3EcP6gaMI3hW3kFT/5ewsx3D+Ej1MA0KnvKd+mbyiLZf3B4k4ZQ29AKUfZJ75tIVRasC1K
hkgDWygx57/AWVi832whLr/MpHS3XJtYU1oRP24hmKnFLcc664SlGkbOZAt3RDH2jsiuigRA0gyM
YXFZdmy9MoHBJb48fUkyViyja6tP3ccsVhIO0lH0+gFvWMO4jEbLyCYd5grpzSD9M1bxy1Vk9Xly
4OhpvgOw0cTBaPVGW/m+1p2L0AqvstnRUWdkWWrcJ66f26TdLXn75GONxwHbqpAtVzA1A0znSzjU
ybqUSQ+EY3s9qGXqGRj4eclw19Vzd7DJPSasb4mzZRPqc/+w2Pgfse7F+tFEUYC+oubAJeUYb+KJ
YXxTN92m1+fkKLoZwDLEnBEzptB/7FsZ+7iQhCPG5TYq/0zG/SU2xSMWDA9uFj2lDsoa14ZCrRzx
UnXFi4OHEPhNUdvPTOgCjKoCs47GA2WR2HaZ1tPsiZCSmnqSBGOGsYjnYyDRJZ330dCSau1nY/g0
Jc6wRwRgHlDCxtfwwcU+Mxr3xq376bBUVb2zBT71zbCQHZ4Rzii8CvOBhuO3P6ChiNtq7XQes8Y2
XHtdcfR6nwZq2LinWYjlkNmoRPGt4rSMq7ib1MWqiUzS6zF9D0rSjzAjydaV57+AoWo7b1j2ueGf
rTRxdphfEn9FvtMqChtbqSY/2Uxs19m44GGCnRQuSggy0Gx1WNrfZNbUQRzEU+DnigklKXiT4iJy
1qMso0oU1h0eWfIl1e3mqqgT+TEdGJ7jE8Lce0j/NBn4b9VSkT3/+6p1wriF1uvbfBD1om8rllKr
e0zg1IESzo4ffXfoVb0PpgsI0xVj923FQq1Okxm3FaFaPFgmfFuwXnXsFoY0BE3RCNJJjvkXC5at
2jh/t0RYFW113HV8mk38rj8d4r5ridRljSojTuNL3QOp7OtXTbhwzwZiYzbp6FUwnv2pHu8rNL3o
CJWsfMZoo9l6r3Lz8VV6PnrtHoG1FT5i0ZQS6TnKXDvyptvwyoCDMjbRomnRhUoTF1K0ZDEVq9Gb
E+3nRSw5seutHyqJs3QJtx9mB40XZzEf9qaZ6TXgBpPU8d5F/lSv8lRoK2vC+mxfRw0er7JoObnW
Y96cIxRaTAUt3H03kYdKa5V5Dhq8rtdeROJ3u/827Ff2VIUS/e+3/l0yvDRt8vzyz9tfvfDb7W//
YaPAoLijxfkqBPnr7me/pv9nUnP5XM7Xqcb+anICpVICIivB257N+XuXResPGtdUj3jX/Q+V+i9u
/9ch3ve3P9u1o9wche84poXb44/bdWxKsJbeMk9NWdeVe63loDSob229LfS1b6fZ2e9NK8NGNTSw
+B37ZWvMs4FrdEcBAiGWn/uy1pBMTtpBCGmd+kyb16PZyiPdk+J+thCq9ZNdXcukK584DYxXZjFm
97YxgsOXqS+DbnJfaO3Z+9L2wi0+W8qbB1z1IdZ13QcrRN/YjBV7Sr7LTGNcL7nEImFwiGCxkuXO
bJ2kh/2h/pQzBqm651NuOfV6MrHDxRygCBLSDy9F0YfvTEbZdz1ZEvG9noosInHMNeqF3S8OcaCD
IkakZrgyMrkgGgHIrsGwDRzr5tEjyJp29XDbNIY3EuXbmPY6XADkbkCr0k0hkjp9r6UL2c71kLku
pYJTEx/fWGg9xcDILOt762APWEMsKNHXLhutgnW8rsINSYp4rQ+NL45DRVY2dnAOtWeMJI/FsAWw
rLFLDuZEWha+vliAESTv+utyse8Wox1IMh+wxyrd9KlL8/iqwrxpOQnI3wN5w5xk8BgytnMj5GIF
MTfmeCr8fJbafysC2VEWJ2ie0f99Rbh5rB7/uRio1/y1GACi89ziNEDWBdIs1Rv6azXgR8zzaT4z
u1NYB735v1YD7w/2Tg7VLouEQQefV/0NohsCgxW8jf6nIPg3myGZXG93QyoErFtUogbNU97xj8tB
U7cF5z9zOVdVC9BldqTu+RSSlZjfG2lN25uSezTqNX79X7DTRxtD01if7GMrwnxdZ9p7n9x4Xcwn
sXBmF0CnJB52Kz1Kzg5i7Dn0LnoeGUHCzrepARqzyT+Nlrgui3LnRf6+T81zqksbF/4lC5qIdC2q
6HtHlP0WpciL5kh8TXAqzgY7OrkOllgajiErrxabGYWbkgLtCDU/6GIkzt70PhAfdWnN/CzoZ636
RpIAbg05OtF5F05IN2fh3+ZpdB/RGZVCWcYL2PAoL3V2eftlLKP0tCx99Sg7rjOLYbdoTRRYGCXQ
EtkXGnbcuMc0ayYN8abzE72DQ62ueg6iG7OifdybPKRZXJM/Iagp8i8RXnIdaApyqXZHMhCsGeOR
3bSg+3Z1zEHHbI9Ejxihzg9q8uwbOzcOWJ4eLT1PrgwsEUI5+5jv6VUQZpgRZNhE+qNzXxuJs529
pgs0BLuY7TU2qzQTj7FnuVoYJIiWHjIdQIY8FrS57IK2Cx/ayHuXanCRCaMSew5fGDJLYp4m6gin
WLciRY5bomHTbJbpOCRDMiv0d7MH6OlO4lBIZP52VN3RsNpDq7tBLICPo6WtgzJpQ6a4g47WCMsX
gra3iURgvcSYw9chNjYiyp4IWwCsrA0aHNpi3vm14XEuyjaxQIKLOUa81ujebYdRBbHlKpMtQ+F7
cFROG6cc7PU1LztUhLhNKs1twPiYmAs33XUl6SH7hiD28N7DNeHKcOLnSCuJdgoz/4p1H61W3hya
OnrX6rgE6R1u8VrVBUXnbNq4F5vBk2tvkOVRes2pbYuv5UTug72MdDaHT1U7uzjlJB96s8YrgzC8
YAirT8i89A3ZZNe9nK6LgulB46Xo6j2MLUqitkZxkovHI6F96EZDD2wMaVOTzpET2WeXxlvPYi0S
GpLoBsoVrbdd6prXuYOOQ/e7h6UKz4OevfenmDE2+r3IrMVuQE/NAKpONk1attsklvg1Zqc40rBi
j+INDYKTzP19p+q80dWekzB5jxafglsjrDs19WcrqT4MmbfWkMKtGpQ1j0MjNpqhfSb9CjS8807W
hFDRmJ3s1snsB/CWY2u4zwzNjjPjw8Ww8ZZfqOFKcZ7K0jzJpiDDrs43FbbzFrbw/5e981iO5Giz
7KuM9T5oocViNhmRGpkJrTZhQAEVWmt/+jmOmvpZZLPZxj3XJEqgkP6pe88FKKmSBxHfjpE6rLJk
IejqPlPW5uIe64T0sBESWxgnLeFhyn0y4rHss/wGY4vi61X7Uis9xswh9IkFuI4tjBO20QfGBI8j
SdeKYu+EdLn0YYrcvUWhSU73Ko+9EwFgyN2zCz04kz7/6jr61dEh+ywrxKtnj/2mLyClMwtYrMFy
JY38fmyuhknsvTp5x9oAE0jTcPxNHhvu9K7PrXevRac8zDCbysZ5jBQwFFoR8iGuYjaecc9CmLeQ
SLt83nYliIsfmsB/x0+dmfB/rrin6i+tX3zNz4pLk42alSuBpaO3/xoxf1ZcIqlsFl4qSmbYZ3Lz
9UvFdUCYYe0GCeQYbMZ+r7jOb1Rptmwwf/65yICP/p8rrsvRxcZGxuVFCg3+1IB3ArXTYA32OTJK
cdWwvKsR+rsEQQTKHI1CrEQ46CMfFTvO2biEToV3qeD1HJL0y6uh5id3SNQCZX7E7xH5HcAwE+X9
wNJ9HYGRxvEkOBxyuOjxMDxNA7CSQKiRyfU9gxte7zuzlbEEo2XPN+zgADjEShVtuIcSaDWXTzr3
chbnxq6XLuuuG3vaW1iuwEUK5KdKtwkH9T4tmSNKG3x4AWV6UW/LhY25ps2ktIY1OJziWDbhlTbN
jwtsTZjlOIzrutgO9R5XLrU1Yt+c2CkpGU4PX2Z2YIK4iLKHUHCen8VT4XjXGj05JBpjpQxdtqpn
pOAI/epgKtxDi1Bcl8v4ZBifewxDK+L0jkWiWtg1luuuKpfNZI+gaQcP6OXY9L7hiDnIeoT5kFDF
erFabDeqvoZNvQQQlrkau+OHYs5H+BrwG7B++UWofcxzXfmD1W2gtu8SC+tFoeVXqavXftK2j4MF
xyZtiEMZ0HuNCRt2URl3Co7kxhlIFM5Cv1CKAkJLWO+RJUar2azOqV7dgkrzEXIdE1aD8cz7P+IX
1pxmvQz5u7nU2MfjMegNzHR5FuSxqfgjsScm8SdtTQ4KdHJkDjIbpc2rbOPKvBTF6E+FTFDJZJYK
MJqtFkVPA553hLfkrRgyeUWxI9QPIIRNr/e1pj+MAykjjdo+RTK6RRDwzux310fz2p650KWztsvK
9DYqx6vEMoJMxsDYMhAmlNEwtQyJaQnl8FVyY7iCOGu3MT4rGSmjyXAZi5QZS8bNxOTOlEb2gLLx
sSBrpKqbixLX+D9kco35lWFDmE2aF4+TQ4PGknFQjRdVxt04nMnGKb+bM2sPK2ZZ2dIkFH+F5Mi4
HCGDc2BCE/skw3TiaXoq2UkFKTk7M3k7Grk7ZsfBCvbflsXsJe0sX0nxqFk9SBSsKdCdJn9wspoG
l+nKhThikPATpgIxvgz9qZZoH8kYoIY8oIFcICxOr40MCpqTJSWfhPAglo8aCVfDw5hgANIyQPcV
WUOKUh3YBbzRCdB4RMQR6eQSISzeJDKniLwixaiuJzWZ0CgadybiqMCNVcBBs3KOSDtKnFrxDfKP
5iTH8OiUWzJN34pIzDvST3eDDE1SYuKTShmkxJWy2vRkK6UyZGmR8P1cBi956gKIiiymSCWUKbGz
TSFjmkKdwCaiIGzCSKZN3i0XTTMxNKH9qUh5AkPwgHknPrQyAMrW5s8s8W5TE5yhbdQhjhDiojqx
fJ9GqAGjjJIKI930kbCi4ekkO11GTpF4dwcimB8dbt3k0ynQseqESBGEI75Zxbssmt/smCyr3pZN
se1hBW9OGklXGbazAKUIc4qEC1lQhkCTfm+hDkUVcVeieim/cERwiRwJKKohFaktyCJ3VuCWDSAi
Zt3cR4AUV0IijjQ9PWkwjxbYRwsMJOIpcO+ExyJP93Hf3IVx872X0CSQX1cLFCVbqe9riVUyFq6u
qkQteRK61Er8EnTDtSOBTClkplIimhwJa8q7kLQi8E2TBDkl4/ToSbTTUMFiHCXuiSTVl1kCoGYm
AlYGqiQT0uHPOpQueFH69DlJfBQpxMm6XMxjbBcv88J3VPOwJk29Dvm+evxK4DQ65VE3kdJGTEdL
5uD8MfA/ddU3TzdfRat+HzV+GCAD3Nct/2DAeo3AyhE/aVHZbJrCuR4BwZHDqXH7mxRCKMYzNr9b
/qq4guOLIPF0Y5mSWzwq+koAR3MYp4PYVfdDleE9DN15b07WnV6Hz7ED7LzNk89iwhwVmhMQBbSk
uy4bH4wSMDl2CoH/sB0ZLb6ag3+7JIMG5X/ukqQe81DhQUz+Aiwrv/Rns6Srv3GzQwIht5Lalwjl
Z7OkawR22+y2WEJwk5Kom9/XEzjh6bEMNhdEqfwKlqVZIhHmxy/2tfz8B7tKqCL/rVfifoBelJaN
1QXKlz9uJ/DfFBihl/ayYDSmX9EpzjTcpZsyBcblJTHtE3u++GxbxMcSQHLTLEDxRaTeGqF5m7XD
Z6VyQ5zneI9F9Rg72mY0hqsMFYUyikNeEuddagGea7IZzPmdM/6VCupiZQzFmQ3vJoycqy5WNtWi
3EDlfnCW8sniDOWGDQctF3+Yy2ha7jPqUsyyH/u9sbfc+LFdYJuY6g20r/OwJAG5y2cyoXo4h/OV
jSffajUCoqIHq+HAzt9onbfTu5f0p9AjVrc1Xo2IS2XfH8rQZg/iHUezOYdxfPaIzvIA70RxfR5w
qRoVNPBZf3JMaxdrxIIvy0rJCN7UUnDN2ho6b9B0IojV8cVLuus4Hk7RtPgjqFVzIss3t88tWRSZ
971rPSmbmQY/HoaD8Nw3WKj0Z+YTArO90nkBlFpeAbFV0jQgpmFl1y3w3YXJbU4uEmKOaCjQUvvB
6oqdWLrbwu3fS30+K255Zt16NdoyWHI4EC29GxpWCVH93UlrugLaJTggRmTeOrFTkwRQ73qnxCea
T6dscBRwtTDEw+zNqEzCHG0/TkImvMG5DEp/FelFIKJx32LW7BzlNvUIclDDR1OKNTxjbYOnWTUx
jUpGdxqHagO5pDklbg4JYCLcLIemGFSJ/eaMXrutmxnsrTX40Vw/6Ton0WKa3yHWeBISy6V6/YNW
HHZum+5Yacd7OPFtejGFQJWRmnZpbHE7MdeCYwnGudtbSqVuq4awIMWtb7Oqrw8lfmm/azLS0wj1
O82WGINxQUVDAAzzPxvpgH1ueqtrOmtwlILIMXZpqXUBCzFMxIkm/BJ+kU9APF7jmo6xd9WU1mUy
d+GIOqWzl7vEXJoAiOO8Cg3qvBgwPNJv6asp6h5YHKE5sQdig3L9huhIBgWoxhZYNE/R7xU9/EZO
Dgk25kXo1sZsszM6nokb7eibefjJ0H9yyV5W2NGnp3boQTws5uA3Nbdyw47WSVHd6BVtHKiLgO0X
mkfLBpsbS6tpbb5HDCwrlTZ+VXck1kKpQNVIxo4zp4hHOZXhsiz8cWTcznT3M6q913LRH5D6f/Ln
B2ZUqR36G9JfjBqgQ1xAcbZKAPrsCJPVWGu7Om8DqG6XMS4OzPCP5rx8HxyV1Gv3QLNBI6UQIhfF
j4R3rr0ib84cppsNuSQxL45in6o8vCPRHOcLK5m1Ho9QN0z4V1gKnqEH8l1uig+lctnSzFOLezkq
N2k270Ml36ZQV31PjC+iYmmT9/MlUZ33eAS+Z470DHPBz61j7wwbB7gT52y20DTojY4Uh/D6xtC3
YaU/9w0tFs8Uu0E2dtHQ4XlOnpfI4BdXzG9J2BTgLug8h/5dGdqg02V0SKgGTRk+GQAV/YXiKnTS
EMxMrjIV3Tf7dliJtr6PJ6MI1BQX40wrjUIqfDZyljRhHTr8fBkb1rwNOouJj2iSLSyz+FjCEIH2
bBjfC1Wft2MIBmOw2lWS0bhORbNPEmHzZxsPtdtd5oL+iCwGOLTGforVc9yPj6WqHvqJeJZcIdMq
UWicB7CDWazeTVF/tMr4nnBV+qPUDso2BaJpTkZgz8pVwqKMw0/20MamtUqK2glyp6apjOOs3LRT
F8W+Usn41YbsBAUX294koD7OiVgpVVfZqgKcH5CRZFV2BazJQT/AqkQcwknV0eb8JqkIcPm3F/lx
I/nbXuT8Ob59/NWV5I9tCL8SRg4AeZwkpZDplzZEd1VZ/E1DilV/2dl4WEZsmgwyHsAnf9Hwfl5J
PEg+1peqFbb9PyT2oGT6cxviQDWBC8TNlE6JP8Uf2xByYGrDCpPlkpTXxkKroIcL01nvPcxCn1bq
Qq6Np5dXrshvefzoInLFd5i9V1MM7BzsJ2yt3uNHDOGLSlc/K/a7F2enfPAehWgeUJx/x9O+aRS7
XiV4VfO6oAJ2NuIpJEOqXlxhoce8H47eKhPGeVIbGA5keqwaO3tEByRIt7U54EBE0Lm/rCrdes5y
FpOLeIdDX3Iz8HZTMzxkSX/deuY5cUNti6fsrshmotDm6ByO/aGaRjKCle6ouekAqgH65FzxdxZB
6hqwZJH6u/HGswFNpxYRoLHyNNQ8QcwZODDPOUFEwiTwDDBcuEaViNEbuT3T8KZxwQUR37risvrB
/uHSZZoNqr5Z7oRSoKIMiWGqO180MxeLlHcNgDRyjFJJSR+zXgpBapQ9hQ56SjU/OFVCV4NOjKVZ
KAH4aeBOY5Ajtw68hVvS5ImVoTFmgvVYi9Z6ZARsMj9iyL7zgP9jhBks0q6RgnadeNCmSaQ+GKGG
VDAeDUILUtzK53mJUhkjEOWcfStQ882YXLn2uM66Zavm805Mo70eYJ5gdYnQ/puj7wjOyiFgDNNB
8AEx57NOLeKZO2+FBxoZGfc1u+MHJw6Hh74sXxOQISFRn2ZeITft9sswkBUIFNpOy12lq8o6zmqL
hdB48lTApdliHFEMPy2mfSjqOvMLa3lrNKt5MIvuNipMbjLjaqqnPWKTLXnoIeuqkPVZEu4wEBMv
1hhH4nQ1SjykjEUhAlsU7qMygpCxG2UzeTrgqZHFH22IG0574VnZSq1qG31vCU1RoV1u6m1C871S
HYTaergxBkwfCrbKth0eRZ4/5Zb+vTL4nrGSf1bdihC97AGCxwuJyNdzzJg49y7rJPHctWXBLx/v
wjl1fKjaZJz2h2IgQ1BPxfMIo6bUmrd+Sdbg1I+sVwItqV/sBNtPaBBek6klxbXN71nwP8Qdjot6
IPdVdbIjEKl1LRgeeuelQQi9agf71CIfpwPZqgZgYBhBW3WBbTQMr5Yb3epsTBytvGBUu8w1coTG
Fjp7PpaQjV1eiWw860a0ycqPjCXSMJK81U3htkomid82WRhZy3ViW+iAiSTzSKjj9+6eBclXPpLy
tyKEU2upGWK2DkB0HqE3GJd7W3DmmavcWRmtcw+u8wgD5EW48Sn35htDV7Yc0+APN95HWKi7wnP5
MXIaspoKfgBDiY2Z12Gqf1qpSSbvqN3zY/zs9AiMtLA69wnsEc/48EhgRzY3XVchou6i00yfFQ1B
gmFprXIbnaLbt9rKImX4mmHqNgPCuEKQQODYSIZRsWiAM23vfQ77tyxvrkOtZa/qWGHQTSobzqXx
OERZR8q+eS0Md6ssVYzIfGzSu7rUvoWLQdhCJh5EVV0ZInrXSu0w5MOyQz2irPtMpzmIiDqu426z
5LD/wC9+VrUj1gOAQlCQtaQxNZxi6GlXtucga7by1g/N9kpozrHXtUMyaPs47m/baISmOxl7W5jn
eVCOVcHfMsmaoO5jdWUJxSQALwrSuBh81zGDf0v+V8mXXvC/Wz98AzeFRPCvpM185X+2DxooPgo4
ZxeHNYIUJ/xS9l2bHdXP/8JX/b59wG9sogREvYQyyqFZ+Fn23d9UIm+ALQI08Qhw+EexNpx+/nvd
J5+BPx37BzqTP7uGjXQsO5hT02XOXfpm2oCNMcbpuk7lsz73PHdZZ0ApM8eXKS2OdTd7W1t1HaS+
iHKJ8gbjXroauD57zakd6+NSOr6tJspR7cWbFeqCjNH+c7KbDoYYF4GaUYPm3D4RzYfFazSaTT2P
zZlMJryY8WOPDWIiGxpetXsoev3AHed7Ni+PE8ONY2aXhmEHy+zOS1hQeim6w0RORGmO3RF6ax5Q
oiDsSsy4yQiVOubDZCuv2ah8TnLGkjkT/ox7ED9A8dEUjFSZqpx7dRwCzCIsCzP0DaQ3vy9ygmNv
rfm53GuMcr4bluoxlgMfg59dtailv2ZBORVGLXTgU5TsYZ/dNp19MpgeBZn2S3nNbmcKsImcS8/e
iDl9KuCHh4yecWndj3IWVdPvSySfNYZUF0Qg+QEk7owMsJXSQ+KSM+2Qx/lm7jl7YaZrgpbRt2AD
GvRyGuY0n/oGCeNrVc7KogIuX8j5ucM1t1Z6uwtMhusspmwUirHF4pLeWlquIymjLKcLZlYtIfnC
qkDFtXJmJ3VnJN1dqw/IQ24rkgVWppzxuQrvEcYmQWswdJjITHdD6C3ZYxkpTnTSO1E8cXLA3ZkD
QuPbNwp/NuyJe1cyrYkG/N55RLfF4yXu28w3Coivpz7sO++1hbv0wUbfUdjdc9NPTC3cWJ2tXRyV
8PIOfLwf6Qt2QXOqToXQkwcEEI8trEcmTO81S2YsgCQ5XiYz1QOlHtqNvrj3XjntjQK6FFm32xzH
8K7VtAdlCLVg4Plcz6EoubngSirMolk5nV5eupIODAvJivi80xwv1T0/AQhwTKfiDJbP1+VSdWt3
mOp75s/3DobK0cl0TJtp/FlryLiFuaikt2ssh6oQyRDDfqFYGjegfti1hALv9NbO7xq7yUH+OeV9
pi+gkLUkZllX31duH/S9jUZ/QFMXJRaRUFjNhlBJJb4aLUC1XCZwiL5itLNfcPZaW4k+HXtbQ4WR
kJzcL+rbHNZ+E0+PdO418hh1wRtNnkRkestKn01ljw93es3SCUumaMIgcftyyykw+5YZVrfLh6lZ
icYlfyied8jocTn37OeCFrkGSDSvvZkMLbyKI8M9ueNy7hDw0ScoXAYqZPppMbYb6HJz0OsEzSqu
ANWp4bXNrFms/61HP+rR34oG5Dp89dmWb+3HX5JjpQz9Z03SzN80AwIfGjtMm18agZ81SSoLVPR6
JnI9qoLKtvpnTbL4L4jWPcshIMh2pJbvZ00yfqPAkSbKJRMROxCDfyLYg77yp5rEQ49Kz3bYh6JO
ZAP/x1nUI0u7hikbn5XM1QNLykpd3vW9LaWm45fqtG/6Fpz6oqBGpdGi7LDO6tKHJc2Ypb60q6WU
sRJKHM1k5kp56/yldB0YzmRQ89wIRLAcfFEnrZofAllSSxlrsi/lLBrdFhlt/6WpdXuCPFoL4c2q
VBwuh5hu0vuiyscHXtRU93MCxe9iDUwSbsQ03tTkjYuqz7sdzjdQj9bgPJbaqAyrhZnrsaazRUJj
1WLxzZK3yFe6pvQzo3avjWysX4yiSV8Uq8ZR72moBrQxD3n/tIhVvJsmJxRooB2LUBSR7yZ26HuV
zqFYLfzCSIeTqjjF2bHL8bZAYkHOQsaBMnHKcTcooUUVadxXHXuhYKz1KrEiPtOeV46bWA4yq9y5
VTSylH3RF8mOmArxrdAVTl+RCRHAX1RERMDZPSvl028aQ1bt3dHoWffzD9JhzVfGlz7hdV1nTPNr
k2tyXK5RKHO+QCA8CjmATwYRdjsvcvnflrqNtg7tAuTAMX01vLK78ZzO4TZua5SQzozvsVmdPQNX
+HWl8N28LpVoJI+uk8NiFFZDs491bQgvbqKnL1ne6fezR8vNtUIGuk+lmuQ79SvrndU0ue8NfsD5
UDgAZT/tyY0+PW5EW6wJ4SZP4qphR0HEfKeQqlMorRNkbtI9x4ZWtxdJLfAZZf495P0QGJs8FX/T
SYNY/mx5ncCi9cv+4//+1+9f9fPF4lBn8rkk5+zrvQJP/WsX7XGP82xAeMibXB6Lny+W9xsLM44E
NjHEP9Ap/3mxYF1jEkBoz0OGIwH18T844rGs+9OLxZtI84x3wcTByD3xTxLjUS91Qnm85cLxpNuo
Sl6uO9wG2SozuKId6ctmNLyjpSjYysr6NE3DnUovYrkZ4ISWpXESq9bVXM4Nq2C0TQNTs4k83s8X
o9voWo+ytQKfTJ9c3+hmS96W2StHWlfs1Gn17AmwDWBfv5UN6X5aLG6KpMJCO1Xkm9Ujx77IuRAt
MfplhWQ1qqFaJtUEf8JFczQQ+oPXRr/JDCXfjwX7rAI6itrG1k5x5plIApKktGwoAXLbpeUndXaL
Belzypo7tshXdcFNoCXncJ/OynyIILvyeHj1RR3sVxwBCF/5VUItO+EomaDccwSZCWYPJ++ElI33
V8+J2hhv1Ew8FkP94KXNMYm7V7gV27Qu+MOKSYeTml6ZFn37gMxU1O6H8PKMwwj0X1cfj4uDXhi9
cuMrA7rE2OaISIOdxQZXJbfahPRqjtKcSr1+ThPZ46HnwERRIFmwlneR6GcNldN64naVsA7z1dRo
YPwaAL23yiDPNzG/X0gAhN+AHXG1Fm1StdWRM6jetNUxMw+at9Fa8SlcN1lbzngsZwsGKB56FGYA
Xcuhq30T2z662anm/fOq1aSbT/WQn7DQR0Fj1utx1jm4LJ+hY685zMllbCRtlJx0IrRBmVUGvSmq
jab26ORy/TpsFxs3IQ7/Oq1v4la8uQ1qDA3ctR/n4CdbCe0u7Wo/6v1jmlY3g1pQFm1kVy4aJNFs
rByBaGyQb6LZlMroqS9rjyjO7hgBPA1GpeDqZfPj6qKKZ70QYRJfkB45eZmgjeuQw0Vhv04a75Hn
9TorooZDjn0MJ7cNlqaj97OSNzRaUnlavTmz0frdTLhTp4RiF/aVGUAwyEh/MwHecMTBoy3qYDYj
cxX10Z0TOvxMVYa+g7zNqFDNPgHeHkdZoaySBmgu8TOo2aYbW4vRxxjhqpwLd83kcFXY+g6/EAu9
yCPUquuCXAHB4MSES0gGt11r/cqCw8yBcL5UmH5aiLrUqOzbkA5PaWG818t0nZoDJpqo+OSR4pwc
YQOd3DO5HOo6dVE6hR2SMegC10ZtfCAYquWCZ2fky/uUeudZL++SMk/ZZIqXnP0rxcWKNqSmpcS5
cabqQ/ulqxpwMJiV0jT7TMXY7BY93IoB1b+eKzaiafCwXkS2YBxNfKiTfI1R4IkA8ye6GmRio/nW
qukrCRtsyvuqX9WoFFdJhYWpch/TVjlq0XiAr0xG9GwRdlMfwsrinFqh57M0bZV6ygve4K2TVldV
W+SryUHREkfOcy90SLSR4e3GGul/V5DbMiGXXjWdZ170rHKVoJHD278N/VdDb1Kq/qYs4rx4+z9+
/vZXCaDyS3+pjTrueXpvC50Ld4lfaqP+m67q7Ijw6mHM+dV+I0UskDa/6Cj/H83ys5u3f8Nub+ie
jXeUVvyfBSebX4FMv7rxLJdtEK5WDIP4XgGX/rGbd7RIy/PWqkDjtrA6+lkefOQddmYhrs+Rtp/C
bJMbIM0LXmYkAfFL4TmHYgRcia+zyquzQ3uHN/QilHCtInfwc0ANV8CqkYAk7eOims+uV6uB28m1
iUIk45Ld222I6aYXXMmjjFVP6pDGyTYWCHVKukCOa4k33IJHoQGmwLcxBsy04zYmosDPLHhQpdrH
mHq8tUipuFq0BJRLJBwVTArJvxgkCUMBiTFLNsaycF6h/ltBLMW646g+jBKlkS7rSbI1es/M5GIM
3kZrfbMlgaOWLI5GUjmIDP46rUPqKNNvHquv9SIpHkMBFZkwxT24p3CfS9YHgqF1VWIIUkkTOFqW
Ml3hsOUlBIYC0yN9wKBOSl7eaziN0gvLI1/iQ1aTMDe9PdxjuLUZWJoHdNWXutF4R4zpyiQGaGM0
oTyJl0NQKnntTyYSEk+uorJmONXUFu4yFQmio8IahQTTUkfZOt56KTKEcIKZKCZt5xgYRpYs+RjR
e0SlOAsd5P0ACZoUuvY57xU/5LnBH1FfDSRVrWpV95jiBl8RyI4qyZXpKgKs6j41gly392lv32Qh
1ZMYWHIxRLRuzMLdTEr1rdF1Ri6141wxrc2GJFC1wJeSXLR8OBqGQNZsdsdm5GcmHLrrJrHJwsj4
1qgjvBuT6tuVqMvTYds0xsmxYoRJXqX4zZhWUATKIKuVbZsq19lcdScB+YF/PQwcg2vf6rZ+8uqc
lM5lnCnqxEboGWpLoxLJKjf7bp1mKvmiU7juoo55ZI43Y1qeIjN8XRog+7niklti2IHVq49mAxrC
gJ+v5SkFs7cDN4luokm70map+5kRpXgfrT3V8Ks7voedvY8aFD9owq76obskVdcoNxUxueJzmXMi
AdBdeFn9SPR0Q+QAdhapZCmHrD6kvfdSZeptb7Ufbr3AdShXtYg2oPCCupugJCmbVtWPVR6fk6o6
zGl3hhN/PZZZhtIqZoMWDkSjhtZ3YSsDELzJMMlPDB0gGOUo7nRbnKKmRW6Zk0PC4gqhvmHz+xLq
nbfbCVfNmjvZbhLGdWu9dBJVVwzeQwkkDd/asdVRbBNIgZKC2KFaXA9CR+6D8GKxhhseO2pvH7DQ
ximXwG8JYeUZXX/FxqPCGd4fK2h6jubIDfWdqGeWBS3AvVii9/QWJ4tZoCr2Ig32nET0GbD6cgnt
I3BSZssA8qsk0k8Z+Mkpa/RKJXaHVQH5D5Hts2OW3yuIgIVEA5owAgWkD0vL2JRLfCARXtxk2tAh
x6F+dxm6r3AcnpKZC/OiqtdFRVoHpz/tMhn5p4FDbq2K6XPoFPhE9nxrTEu9N8rxVauKDR3985I4
NHrNxuuKOCByBpec2ZnbGedDyZyLVIl9qLugUakCtW6vvQTCEkG7QhLkrCY8kzqaBEigd5gFvIOj
WA8uWjB+59EnZ+9eA/G1ja2qC0Sj1et6Tud1o+inmY/BtVN5t7AAdyiSE7/MRxS6BGXpMiGHxgIv
stMH/F0TzEydCY26eYsbLrY9OIGVnedrdgnfI+9bwkGy643bjO8JdUDDTwi8qc/da5b8pC2QLBmO
GVz60CHrThA2No3pNm4a5HlpDtSxx9fFL+e63LYsGSBgRec4BcRhD8l4NBWtXPMPuuwsfb6V04VW
1Cx6qoQFr0sO8YyWF1xgtJ/pHUOFiZ4TM9Mj6xDnVe1Esuc5hp/PPBIRl6DEzZ2ehFubYyJCRHvg
Kq9BDIm6b5mOu07pCPKxIBiMTXOKOnRBtOp3gzVfMfkxjBnNdsBPZ2X1eaoAZtfadIn6+VZdqrUS
GsuGDdixarwdHrTpPhbLsJkG/TPzhlmSjW6KmNB5kWNq/ref+tFPcUD7X/spoC5/sWrgK39ppyx2
ThZbATqgP8Zq6SwUHAjbv5Pufq4anN9YmrJQ/cn2+OVgRztl8elxeWxUuqN/BnDF4vXnVYOrss+w
bJueDnHwn93MXqhUduS69aVEPwm2wGbw1jnh5DiaEoz+az3ltN3pXFXyzCFryer3jaWBi8NfURXF
dJggGeG/h1HXq8MuIgqDvt/iNgXytCqHdDOQHZw66fsUtmhZYAgh32dazvuxXDuF5eJNXrzruCke
rJaxp5kMIqIycbVk6FCjvvLV5ClMjXvKcHlxtFDxq5kuY0iciKFDSw5FHj+FJkbijPQqqjGoan7y
NaUdNpHOh6HkUwFg95jW87JR55KIjPmWRgXbJR+kXGnOI5+syGy2lvyojXzmCqe9QxSB2nCpTp38
WEa9sc1Uj8xHPrGL/OhWUTSuHflxNvhco8u54/6xieUH3jNb9jBtsh95CzQtdvxpns5j1ARki8kk
Hvl2zMWOLBQtmLMhJr1XXgbFbfj14si3x5GvUJ7gnyl4mLBVHjz5UqU8WYKnK5VvWCJfM56k7STf
t0a+dIp88zT5+g2CxCSeQ0O+iwYPZC5fyp4nE9krx7cPch++O/xyg3xZE/nGxlr3Fg+lyYmP99fk
IU7li2zIt9kAs8CGmuujfLdtHnASEG+hBFXXTaGdGvnGq/K1T+S7z2JL30JvuDdlTchGQsgpErWs
FvRCaJ6pHzaFRJUVBY/xJqTEdFV/PVFyelINc0pQJWsR4clPnqxOpaxToaxYHqVLUMIIL3rWKWm0
CK+mrHGFMd7SzLCHovzxO8/rmYI4ysrIbRY5lrZcp7JqhpRPT9bR0WjfNVlZUXDoyERh98ZK4azx
n3mY5cuuoZSCI2dJgZ6yPuPeIG0qggQ8f0GBnS9AsFGD9yDXjubHnQ4jljo3dDZtPe/kAnixDG61
YfvimROYvKUE5VvzWyDFrYlaaidcOYPFt9iNwq1SxOLBqCvyUnUE8Ubt3LmNfey15TOPmyzQMuuW
yLHoaJMXLwqENTHycS8tkSSDI0Ss9JGK2kNb7XzMDgn0his6rh64cSqtu+kbnFJhewoB6gZQ6utD
5dDUYhnGrG6uwdZJcYs7rLR54SsI0FqVU7RsUi38ntfhdQ5mJzCLXkUbPGAoHkwE1yI/NnqproVq
Nzty6QNFGzmLl4cp1Vngh/pLWrOUBNbTX+HEU0/G1Fqfqhpm95VqEvA9ugti9TzGjfxvdfpRnTil
/U11it+6/u0vKhNf9UtlIp6Juy1dLd5PKRP9ebbTDRAcTNloRYDAowf9zxL8iyxlMnjL8vSFlvrP
2Y4sSJ122JakDfUHxucfLMGtL4L9HwZ9k9ufLHO2hXEGM/EfB30wVCqppkD0Vd4tRH4IuDVzehwd
Gy5Ao1xqmbZBm3UiOJ7Y4AUzOt5YTnsoHMfZ/aRjP6FPvYcllfto4bBEGh47tIiX2zV2bj5s7D5c
F/gzJ0aqAkbFakJXaRjaS2f1PlI5JsQ5XnczHaiTnpZ++CRraz3hjWATylCq1Tx75jfOn9to8RLO
+hWBSEkx7NK63bWed+zIaERYuhH6/2PvvHrb2NJ0/Vc2zn0ZlcMBzgDDTOW4JfmmQEty5Zzr159n
UdLelkV7eg8FDAdo9kV3W3aRXFrhW+/3BgT3pIRNFKM9MdXs1sK9vFP9ZjqUerD0R3UTl/JCleV7
RCfGwnKJj87hkixL2G5TLA0hn5jVEUIaZHkIhWtVWjkaYVF+eA0NNYcOwY21zfvLFC/KSWXni84U
nDc+3DHmYup0tDsWZqqkE/a3c0eLn7DvypeDCk8x8LhqSIN7gxiWZQ4uKacdWVZVeBrpfTYL8Keb
p20eT/3cAunsswGeij3HxujIN+p05hGtwuVPwkQupTzOAI39YpLazpHSIvGxjPqUOEvS6JslkM0l
luXSvBnxch2SDmq5/V2R+g4Bd3qJl2ky0W3nIQyVKyTQ7EtuhulmrCXTwdRuxiR4iNJi1sXs54Ed
QaYIghNwouOwkL9DTDVXsPr0mRo0w9yvTJqdrnbZ1P6dH/L5PfwYaLcKCV2ug7hk+Iukmj5HLf6c
hRGKHVI8PXwrAmIx0QqCjwS8j9xXk8F1UioaPHqH5Kovsf3I7Bzfa61Zep5FvnIK6bIeoNN2If8u
1mqHO0OkL5OsOc8y+85QXH7vFVCF0hcYk+YPShOc1GFwUgZOsJY8BWdck4NRV1NuBtWA/y+aZLyC
86WrZWcIb08KeqqULJDuvSo4I6DzAaPhgIxewasMSgDudGp2fNCupXJQ4nZVKPKFqlakBnbCyBAT
Rq9ZV2l+20jtMqtSAtmyhW72sBiTAJ5T1Tpz3ey44cY+EJjc3o9F8Fy16L/CfkkUKIrvlABs4P9z
FLF3xmBdZEWHP7DTXttRvKjlo2I8q9tTVwoWg+ysvT49V4z0Qm3dVWyM51JjIosa2qUqSseGRDDM
yUeAGAA9k/qGCRq4U1PyXcAskyHnoWli5FP4bwkoEr7iidx+96M+mvWJZgkDGZZqVH3r0T10hDla
Yd+sM6kIQWkc4utSY+0rhTEbXZ07mYqOe2KnTr+U8A+YG71G5B0BegtHsrm/o6/3eh9mtxuFSFr0
p8aodbIno6dMa+/p8z+OVhfOswomlqd1F0MDkIULFYKR2qznbEetNjWaVC2PVS+uj9l7KNvsnHtn
X6AhSpN6baT4ocP/xbryFn8S21760NKWDcp11lKRKhNEreUIFwjXnLmdIq2n4adq9orm5ZBPSg1k
/ExKk6G5dl4M9pxS0o6bvsmOOyON/fty1NX2PKrzVeZR/OUhRvSZHumLIDC8SSGPG6X0ripXw0wm
6o90PW0WpVQi4pLMYwOj3BnwK/G1sflYZFmFr72JhUqo30eSaU99PHwnijyaR1rGZI5SQib56zJ4
SvY1d/WNH5bqrLZDVNgjamDHBxnwM/zw0w6/XLkVKXJQjAiEPB0Q8/aBEy4Ax071tLyU3OY4sbOv
4DPfR6zmux6hSwWsCnSDA3al9Uf+AGGswy3EyjdBlF2ZgdtNatXw54DQVHN1dy2r4ZlbOSdSOJDm
qn4fFZmneMb3qE1Q0iDlH4/UoQ9nulHOXa+8igSELPsy4sdZHx/HvnUqRzEWb3226bxx7Ws0mWhI
mtMiINiFyXhmWtE4A0nnJiKRN8yJOessY4S00JyO8kD4AvnmjEK+slIwsSojShtzZfZ2mHmWE1gQ
7dFOpq50U0ez0fDu1BILVVsPXcSR3KnsyOl4c/o5DnIEbXTQgcGtxMUFn4XOJjEh6XOieLPuJLeh
9dk2QjBPsc6JzzwFiYCZiAWOk5Lxm1TUZvXGdLphrrbR9cDNhwqS25nrcIAYIZmuDVlfTZfegZIf
hRJqfqsZ75vC8SHlESwe1VCtINlIUzpaz5Xj3LJBL+Q8PokSX5hraCstzG5h/C+lwOppkMlr7nMX
LS1Qx8i+BRx0Ey62Z7pcH+u0gactODQ6VKWE3l2uPanlSKg7b6IaSLP8KFo7xmATqZxOcY0olpUR
dNNAr86joLmgElnQKf+zTVCsRcg79EZlAjZ6P49k+oswXwsQS9daSh4/tbiqzGg5LlOJCEsTTG5d
M6CkgcbnOIqEE9uqj3B74ApqgmlV/W2cZvJ8yDgE2bIWUjB6S6lTjmM4l1OMI4H+WWnHnqJCx8T0
R6oQztapjOG7ioildV2C18HAp6GFnZ0eXPhNSIIJpiGoVzGOClw2OKNbjYnKkiD+VcVTljYw0jIz
6x/TzLvTjALWoPU46tpjb8qLvDLvs8i7h29n4m4RrN0kv5cze6Xp5XVHfoQW4nSgDtFUjv1jtew2
IhG7sdRnJ8IOuAku4Xsjvanl61QXm7hkoOUs/X+DQq8sEvCT35TdQYULU9bsKLz5dz8U3gSrwS5B
LP7Kxv6h8IYJJ4PH0DLD0/WHwhtXPNmhHqdeA0qCvfJj4Y0THcQU8tpk0bOz/gn7BOr3z5CQDk5l
ESmlwmnho/xUeCs0NpqoNLOLvpRZYK3eTfRcbyej3q18i52oHQRnQu7kc76EfCzHCUWlGVjRGtJ3
dh8QOnoK7AXuqGnFdcjGsTL6pjrrIjd/yms3WVoxLA8/tvAEA+8IpjmZJ4BIFIEXVZnU5xjl6w+S
bNYLxYVkPmUlxbMxddOzCDXrky35V7QkjHNPUaQjGtzdcrTN5La2B+OBIGuWgmo0p3XlW8jMU9hX
VoMlv2LAtdYamUAVrVKfM6OJ7w05TleegU6btPBq08K5J9UXsoVVQsGwQvw3G7/NLzsu2HET1PQe
vHzWdooO11hK9fYxQzqpHysYygz9os6iZqlsXWR1zwl90juFz2xBL788t3zKRctTep/Mb4ddvhMu
tSObkNWd2Q5IHO4mOgDSIos728Lwvs07aWZQRQTHppRSLuO9PXwLW7VI5ire8w65Qw9mF2sbqItG
NuFsSheAy8bR0MDlrrts3Ig+Kv1KNZCPce+D3O4pztLNW+8bMymYyuk4btzKH58xzr8vpWKResGR
ZIHhJAo1TWeUBD7nnQc8oTTDMhpIF/aUejiJsh7dcO1E4G3kPMeToPOCRZXUGk3IFjUee/KdbgVA
bI5yq7FBr3IJ7xkfwgsEmrJemWFlXtt+nqxrCWlgLhfmGbbg8ixRM0cG1DfIu6zkhOozdr5JFkmz
WkxEdN4n57h0SrOybhHSSuB58y4uiJLo3QBxvJShCMvd9IrbryCWj+ZXj31vNjpWeNtT1p1YoR6S
oQArUsEtatqN1nBSRWP2MDa9dMzkRfBrYcpKGJN7b49Jd5uGJUhZ1hOuFPT5hd+in0khuMazVNfb
CjqOjnEArMSaC6NRzbySE2LqoX/HcJTt16STFWtHVt9pl6CsNpaQmak851k+LooA1ojD3j5B3Pua
FPdvQw8hPvndXvxMgvuOnfgH5jJeHrIMd9nB3Fd9ceX4aydGaGOQocZtH2PiLQ3iDZx3vkBZxn0H
TvF2l+aBb1wHKIKOQiKaZQiLUMGQ+AcQyA41jY6YB0UP2Lysqrh5v4dARs1PfDUL2GdtmW5WMoZz
U/maeU8o7EbktZMScV0gVHYB+sOTLufPS9U6N5HiNUW+MJHmxUj0uBVPMTzrl1Xk36dEYmNjfKWl
9mku1H2V9aAI4WiM7G9E/lcbVsXtEkWg6jW3eIfd4DWKV7Yjx9OigIIgIyTEdpe6Vz02Bhx9ERqO
PqArwkNVl4opYZ7AArTPhDYxGoNVRU7cJES2qHjWqhM6Rp10R0LEHsIkvR0ROsLQu8dUDrM1JJAS
FWiBJDJSEpytEEmWjrQYEU0GDvd9vtkydxDbcs2lqV2bE80VEfeILmvEl2ASNiJYfWkhyyyr1gZj
sP8sOkCivB6sNen2qIxd/TiUY2QXnbQiPBHIPChd6MzDMtP7tboVg5pXXd5cDVgd3sbIRWOhGzWR
LXgISaFbwsOELJzL/akntKadZ0lzA/lp3aKm6BGk6ghTySQgjgWp6qA8VQhXPQSsAyyRySA0rWAy
XyOhco1hC8TIXjWhf3UM5XZLHe9ktLESUVe1UMsOQjcr98MqREhr29085xBtKsbME1rb7kV3G21F
uDivK/7chXW1hCdn9Md1Fgyc4LlcrzMb1kltOdBP1DrEuyyTS+7QgQ65uqpALTZxW3SwJAy1pl4m
BH7S00HWp+zKcO9inS4obVSuMM5p0hQA5Jn2mPplMYG7os40XcIEQs34X50868bq0XQb+rhR8V30
oYBR4COQ7oZrAI4CnhFdWWM+HFuadSb5qj2t1ZxnQIrPJP8+7vWH1O7RcfftNWC5jz9CDkBSGE9h
Xn3n+vY81uUwaa34T8/UmQqadiq3ODRFlXpcplIwD7tam+tGe9EjQZ1pTrTS/fLBjox6oUl6PDdc
+2GoafvmuhlC7e+eyGFDuBJjujQkYDhpUNlwNx3vNPbwE6PAmKWed5TitqH3QOsJ8wXSBy2rY6y3
lmGWX5KrQ8IFMvFc0PZMnExjwAxLd2gzyeadKyI1DP7EVro7bywuAzeeDrpUnXTVQ2oYeMMMEsH0
ljUGMx7VC1kuznO+BIYOPCL51TQu+xbiqkmonF9coSLz1pHvH49meoZBBWnw+Xd800ukwS3AIiY/
5eO/ofUttG6wzf76XLl59jfJjnNF/KsfKnxNqB9hxEEGV2zK+L/OFQGtk3wtmq2cLuIMez1XwM91
+ro2HkgibMHQ/q7wNY4cHKUscQOw+Ef/TKVpKB/cGYRBlDinRHwnnc+fKvw0pviP+RjnLZYK1SzU
tFvPkLHJSSV0xd5cgQ48NcRd3G2bNdJGhVavas6V1jmqjcic5hybCy8cbmwpg5cQwutMlQAPBTOZ
h03+6Kk93E/KYJwGTDNrpJkmNX9WZDddDZglLc3SRN6lD3Cxeos+oKpNc6stT2HENxgdq/6it5Rv
tVt9l4naWuEPDUGWwPCpmVXRHHDlalD6Sy705mXBWoLt1dkzKvlmUnIPmMSO6Oc2oP2DA+s44VPZ
fbQIvUZaKSE+CyENL/SQwZOSqj3k8ZaztE7DdmWSNSb4Qe6k1tCWRm6qnLsqVtd9k/JnxG+vLIyH
JjlvPwYxni6oaHgXWHgj+lpwOQE5aB2bOWzBzGcdqqu6pN2Nx+imjrXi2PRg0GZ1awAQhFeZUU0j
MztuJZwpSlMLpzDJh+XoK5zuTQkACHJRkiwwx4TlNh+ra6csV/Q+7LVRjBdlFw0zejJ3ML0eszI7
w9PAwmLLPyKj+gKF0Y3X4g7ewadvcasqc30tN86pQTbNTK0kExsk3YJCld2HXXyE49NDH9aYAznS
996zcf+t8aGO268Gub95inRewatiGqa1Df7LsODdB0HN9/yTIMD3KiqqACVQdmEP4Z+Q1RJ8bTj/
SCLoUfM6hONlINtjVd2ZbfVgm0DouprNIw9PzMFDpEjD58+MPXqRyLCletv0ZpXc32T86uMtrhq0
5BUhcUITSbjn1NObi1wAsbKAZFE+POp5fd+C1SaUAAtXU55yAeP6AtBNXZWUUyBeL7XahSlg37Go
PN4ez4dGpsSSt/hwIKDiXNfWkgCPPTtBBmtnLASQ5QGEWQdp1gTk7OD1NVfCipQ/s/repWAylYwY
mLWf4xUIbB2M2Dz6LgmddIOADVkjLoYFk1YA3i6+qdxntEkHFu61gOK+3Z9roOQqaLkPam5GNlrK
YNGoa8h3bnfq8MxKr69zAbibIO9RYt5ZTnJOSwRutRYOMxeUPlJgJArUPq3vLQHjZz0E9CzMnXll
OeU0Q6c1qUM67FF+qqrNspKS24q+QFR4J3WSJyuFjkGgDhcqHQS9wfYAT0Zme9+fJ7E6Htly/ODT
gDBMrrSm3FnrsLBOVCc5C2hWxKJrAXlWhX0Z4XgmehoecrYpLY5g3dDwUGl8wKd6iEUnxBY9EZPm
iG4Zd01Znauia+IjPp31opNi+LoxK0V3Bd44VNSmXnp6gq+DOfZTiWZMZ7p3OKGlhATSJRxp2Iyi
cwP01cPbiGc5jR13LJ8L0elRx1iQZNWVLLpAvugHOQzrtKVFpNIqqjuNprnoHmGvrc+itjRXEa0l
gxaTTqsp8HHw6EX3KaYNJdOOGmlLuUIEXopOVVHHErm5yhUGydwuAcCxLb5URX9LodFlOs2yFp2v
IrXduVq1lyVNMZfmWOtXlC6iW0aWbiD6Z66VXMY01HorkI58WmyB6LXJdX9k0nxrhfU4/GdDaIfj
qZl20TwW3bpR9k9H0b/D8rufSWX83RvdG6SLsAUVETQl+n69Hz6VORBKBngji94glxE0MaJf2HnS
uKppIVoC5ByL8XIQ3UVJ9Bkjx7vuyXFtRAOSRqTjJO1Cz8sjQorQoyi+xyWBvqXWmQ1+O8Takpd7
n1CD1J68QbgRLHvR97RpgKIquFVpiI5Wxj9Vg7ne6ouSlilGe8cBLdSwcuvVyCTihm4GNIHl5WAp
j3iTnBoee3YvbOootQqlfKaPdlrTqh1p6Viid1sNzVSnmZthTO9G3BB62rzwHlYWbV/Zqxd6yySQ
2Y9EXxicwp4ZolfcD9ZNTvN4xA80qtkoA83M5jB5VixuYiBpOSsQGCZ95ZyXDpiwSls6Zt6ifUHy
bgk4tVWJe0THXBq4aZjWmGGX4m04O8t5FvgNbrPQ9mRNM89tG9Yu4I26LKvyPoiUayMlYI0YglvF
qh/CiDKxZF+YVPScJ3h2KewgCg1l+xvXnn5ZOuWCz/etDAuoGnb2VEHHwMYABkbqa+NZGoUGURTF
BWfeaafzsy73j2uH9Ii6hbqUSxkObs2TK1IiZKt4In7zPAydCk6jC+uSRDMlNxtcbAZsjDKnReta
6xjU4MrHKiumrm2c+ZbMKssDesuwyLLGWw3YAmHs/00jQ422eno9ZJjFBlL4NbLyRxE7weU2Wbou
yZ+h8E1222vFQNqP55CFO4C1xm6EoziF5M7FyII3j7jVlJTqXCjFvSH5HslRNsWd7hwD4hj1i3ci
a0GCBDX/bkspHRndeeiEnaNUJHAwU5PYPMOY5J50LxeNe1na6Sm7OYFSp3rrL/1AN6RpDIV8LdeR
U5xlMYGsJh61MpcvDJnakY6CU/gn/66jX+poysrf1NENWpTnj/iMwb96q6ORjzsEOXJnU9ldtxXx
Wx2NMT24CCFFxjas8QekXBOBv4THyLIhv7FX3vAZ4wtEEiogqnJWPhrPf4TPfNBpmgRBKGDuKGWQ
J6LReI/PeG5B7Czd/bMxztiMguYroJ8/iSIwSrmNZ0MZi6Z/MMUD+TRAoTczlK6aEq9ykVTZ2oJ9
OamAd3GVLxCuBcc0iE4Ha+wwIwuuZTl6wkAeRknWYlUpEUXtduppNoKluLLpEQ4saJvyHXvjV7XS
753CQ67iO9Q9wovQkcZFrEsSETI+N3I8Ei1Pwm4wD/9EjfI1H7Lb1sd8KqvRELqmid9XvU7hfdaO
dEd0Cn7JFgh/cNpG/gn4wdcqsxN0zNYF3efHGK011ka408N3N5dc+I8aJXtIBnlAoq1BsiG8ZVrE
3Yq673ZQ8xKf/W6h6+R6qyHObHpHMRRJ9lPh4+NI/spJVcc3XUqije0ZcyOyr3Ase0KlcAGAgbEE
9B7w8bCeux1wed7e4+30iNLvwS3Uc1zrH+m6kOYdld68STt2ayu5oFuwQvg50UPva6ziqZLHNi74
ZiS2weyxUxx6ezhkJEPZTfJt3q+eUPIWbI20Wk7qKsJkzD1JPfoPnEiLgXR7uezQpDorTzWuhrH9
Hujhs5WUN1rgwdMY7zEWxxxSYPr8khwZr/yus5ypKuParvaFeUnxe+o7/fc4dLKZi/Qmw/YK1/wQ
IxVZvdM940qvB8Ijg+hG99TvjWq26yEQ/9xomgUa+ftEalZV5gMuYIPe1GTlcFEKuWzFD6TkED+c
NzADDRlpJUJHUDtjIuvAB2O0kK0cnMOWl0Xtk34T5eAIOb81aPPdVDVMnDqpoApiV8ygqpZuhcu+
mxRHYxJ5szLEQdboxisrNpZdaiyaQi+m+uiCuUXcgihOaBSMVTjjRKQCAbMnspdJPFT8DhM19+Zd
OV5nXsm7pvbCc9uFKzfXo60dBR0sJEvlVlUVrjfzYuiqbRM91ll/b5OMhiQ1/yYrWYn6yp2WHRrg
Tg5WhIdBCZb8lYzz3UyySKmX5WxpDvJSkck8q2SJKBe/GyZaaz9jnX9C2xy7syrM56VTr01vGHA5
h43sJRj7FeQGCbUIszHBor3+VnGRJB8F7z19RDmS9KZ6rKcYxROd4HjrWHV8bP2j7k61o7Kdl1Ll
B38yDG59rtaW183NwNAWJg5k6Y3VxHWGbU5O+oBTxpU/xeTBuuCQDMyLoQj8C63ovYegyedVzBSa
iHTPs7yqIAFRT9lgUrLh0YajCvMLWcKWyOgv5Vg6QpQT4DpjtZoxaex4nHF5qoo1rq0uksqg3wai
ajExRQO2gV2MssfsCyJcNfU+6rj8nMZp3rDPxD6UZNN6lL2mIfjAHEqwOli5DpmukW4U8yBQLe9G
rq24elDd1oOpoI2qj7NNYrpfIyPAcV9WywQTdKdv8n+3ll9ay4Ka/+vj8gHGxY7D8n1bmQMPDy/F
4SyCPPED6KQSiKhyHsKoxIlF5Yh9a2bYX2gqE+CC9aeGKkcHKno7LG3kCXiI29gdgBNxaP6zwxI+
6fsUUW69JkGNNE0s5As/8znrkhZqrIb9OR1gaQJZBYZweVOrZAyFKlvwqKQZIUZKzKpJkutKmBkR
adWsmtFVpgoyFsTteB4VunZGsrI8Z33CH7JCBE/0KWthluTjmuQ02CdlwkgpEpZKjufl0yTBRMxp
3OxGx3mplJnnNV5MLc4c5yjLCzZojJpoTqBXJ1Fy7rXYOJErf5sIY6c4huIXOtoSd+u1hveTV2AC
1Qs7KFMYQ8XCIoqz5ysd627l4B6VChupQhhK+cJaqhYmU0RL9MAtsXoeKCQ49nLtrCBWcQPrVBp/
W/mzEEKT2uKs8lT4M6GSzrAoof0eArA1yUkDNBShqO6EtLpGY+0IsbWB6lpu9HlkefJcRY8docvm
CvUno3maCcG2LKTbmRBxp5H/1UDV3ZtOP8EC4s4rojtBY5nj1kzUAFrwWojCNSEP11IUb6aHx9eI
dFwykaoLMXmfmkdmiVCyHkHc8G0JF7XQnvsudo4pcnR+0eHUMfPrTHLPdDrWNj0gzeXerSNld5G0
Q2BsT6C9IbCocSUrOvsMKg43Cnc8MzJ+pXXezwpE8hFieVUr70bE85KbA2L4/lGErB5jUwIwc5T2
itDcS526NvDMo4AHk+8Q5sNhxukg0cH0zJNMaPczoeI3kPPn3nip63SAhM5fEop/hIi4mwoXANMu
IvtcG9gYv8mqaQxriyJgjkP1Me2NkUs+tLlZbHDd8y3jWaqiBd7K9I+kYbFt2rgO1qVUf0ctWmKY
r8BvaqKckN+LSblgzbkip80TiW0D0W12gR8+kgX1qjSMdtraJWJCot4KNdcnuP0M2IEjLSUDdEFB
yMEdjQyySIuTBnLj6J9gis8Cn8rMVM3Lr2KRMtcG+roXuXO5SKBLRRadSyidItLpSpFTh/I7malu
h6MYGXYaYXbDoK4CkW4XGcZNSdydKnLvrEibWgThYfgQrzv873B1x0zBIi5PssnNs+oBcJRm/hST
MXMBLfa6FTl7bm2cEMiSTx2RwScTxldCnzhSiOfDtFVZF1nAb4nkvli7rxT3XOq8BV34fkFZCL27
JO3PScplNXAr5eY5s0kE9EkGtLOcpc4yyXOrZ2CTr5heHhGClK8jidibOFCUc7/LNeohWCJc2+jU
6Fz+G9s9awtiU0IHF4wBr9sYw0BKAoAkF9r0oOBLMCCCOSqG0SaOUHVXclET7VJl+nLwXGcmS0W1
zov0mAagNR+8RjuCXzweFaEiLfWskOdZkV+aEjfyMRqOJNm7z6VEu1BDjObY/WAXB7ozxZn2SKIA
9nrPBb3IHwor9L5XKepan2V8aYXh8xiOkPngFwDb/W+5br4yFmabejPfmvNcNs/lcPVcUfNUb31y
8dOLLEjrm+y/95d+/6BXW6CbIX/+f/9n84RibBZUdRk81uLauf1Uf1sGCV+gdyfy9oNtP/VvnxNv
sB5qnngH7qImeWJcVLmOiheHcpxBoHn5saTgRESBTp9IsKx4rx/G6Fej8Psv+DKcv/87v/7wP46B
wc36v/H9+YJ/f310jDTBoKuR3ixetLTefX0RL6fAceD6TJoqr0MYhB0zQd97JiCcsaCS2KqpvXxT
vuq7oRDZtjBKIPgxR/7nZ8KOQZB/7ov+8+Vgf6H6M0yRx7t90Rh9NwjMB4uXYVgv3J7/4eWwYxBE
7bznnmB9oap2TBRUuwcBVhIkfsdSKGJfF80BzgfxG/yEoSDxHX3Z26Lg9vFuPrAoVIte+WHsjjum
g8h42nM6iEwGkhcIy/z45WGmCWvmlzl3eItBAJ57fvut/7QDj45MWfH6eUdgBiiabhuwKLbvdXiD
oPF723MQLGBpWbYEH+Pl9XEm6Crpq1h0H+ggiJN9z0EAbhDwhGqz9b/fBGQOhS398aWKeHmrw5sI
rzP0sf+/3nP2Vx37D8tFTCJY7xZIzuvW//NQUB9gtSVsrxjvwxsEUeHuPRGQJasKTKeXQWD3+3kQ
QKcdoU440EEQ7sh7DgKeyjKInK2RGyheP18caI2pDq0n62Anwv6FEicjHq06qOTLrvjhbCBvkeuF
wi3qQCeCun95YGOfZ9FfpL24cyJwgwTSBbtV/zo7DnNj2H9NONgPsuy5PrwMxYeNQWikbADm1+va
4e2OGgXunhsDLXHDQpJAQfCr+aCSScuSeRmlQ10a8t5lk7hS07CwVNod29eH24POhNE1kXZ2oPuD
sv+iML/gjsEdSQeu2b5+Oi0FxMLP2CNf5t7hLQp5/0WB/zYaHTozr2PAtvtzycD9gk3UMLeL5lAX
hbr/fLCB3ATB5e0q8fOiYD6oML8d6/XqeoDz4eWmt18dDdhmGnTBfrkoLBtCoq283GAPbxD0/csn
8wuaAehJivkyCB/KJ45LZgI940Oto4X5737HJaIK1oJCFhXf8f2WQIUtkkFAn16G51CPiM+YCGhN
AJnQF7191XdDodhfWCfEdAqhykEWj8rLhr3PlqAiocGfSlTKO+smxfgC+s6WAQYhXgd7ROy/O2oM
BWch7gO7Nwbulhh5sS0c7CAo+6MMxhcNJRV3y5df967WFP4g5AKph1o3qXvvjtrWth20CS+1t0n/
fmdwvpCEYqGDhukqXoe6P+wPRJN/zN7A93wFXHZcLmEOKwi/D/a03L+O1hG9q7hIvV0mfi4ZOCnw
/wenZaDE61A3SVxx9y8cdNqUEN+2X/QjAEeXzuTHOlTyA10U+t6bJNUTnVhErNqvoFgsjCHoYxF5
sItifwQOxEWYMBjy6+3y50VBiwppAvNANK8Osnx6bSDuUz4BM5Ccx2L4NZNDxUaDC9XLrDu8G9Ur
SLzPIDhfFFEyWdZrDcn29+64xDeVKtvUiHY70Jmg7b0nQGkSZikiPG1bEYia4P0gEK4mQ7ZVDrY9
o+49CECPurPV/bzerT/cLtk58fYiTfFQl8OHFL1/zuZhOWgqOXX43GxfHzZGyG3MFLDoQz0dXo+t
ffYEKiIH+JVBeCkU+H2/Xw5QWCgTZGrsA90TPggP/vlMgNdFZKH4lj9/ezB61JkKUMuBfvvX690+
UwBE1cShmvSrX0wBWnQKTanDXQevW/U+gyBwZ0AFwXXdvj6cjaCNIiEYa/ADnQnCXms/tBGfFocs
Y/oQrzsiZcD7zUD+wo0BvajI2TjIUlG4zuw5CBqiXdlA6PMyET4iKxAg4XbQkDpUOEGoifccBINd
XyVNmADS3cuB6yMDBHfhYAdhf+DZ5voI4ZcxeCkQPiwHUUaJ/wDEidehnhHCbHXP+cCcBzYBXHrt
NuyolcTtiUPiYHeG/TE2MHjE9wY4/E/7IoizAswA3en1UnGou+NnoAnQ91BMvX3TD2uCepHYaVbF
wa6Gl8vtfsWCruGpifJju+4/sNuAVJgpps5QHehM0PcvFnREuXg504vZfZEWzA3H1nQFRtP2daBD
8cEv7x/fH8AZabuZYM+/GAqhA2Ag4Pq9wLEHuzT2529AejRlja70y5H4cWnIX/gh84ZS+pDPTGP/
oYC+xRfV5F9pAwSVxaGfa8ov9drhYY76/oWkRZtBRgNCuPL29aEvxeUSO0kEFIc6CK+I8D7nhfAB
gu4MkvQyCKz/n+9VLBmFLKtDhduMvUtIQWWhGU399Hoc7KgcBALDcXGo26PxcvXfZyYICF6BpQF/
7VfLwaBFa9O1+tePy39h4/hLoDz1g/hpK03GPnGXgvlXf+FNk/vx5z8Ij7ei23d/U0iVX978RZ4s
/v9/vFcub2UgP/z0TRayfafXf//6FT+++bs3e/teb3+4Cp7LTfnoD9sfDK8f9GyToG3+z5j/etr8
KBkGAtVEg+Ttz3bLrP+6Sf3+6bjFPb896G9NthCh/v1VP2q4/7WHJ5unrHx70A8PZ+Hs/fBJU9e7
Pjgb997Pnm7iTcuvpHp71g+fnfm+//OzuKk+/EopNDjMP+HhaV1u/phmO6MJBXS891vMnuM/zrJy
5/iz9+z9/Hn8xywrmTxvz/ph/NmO937+osSSddfDOdv3fvgyfk7Tt+f88ME/Y7mumuRbFj/VHx8v
OJx7f/R1kj+XwSZ+e9Tfn14wA/d/fDrsGHTlM1bs8XO5Y8xFV3DvT30cpN6OjUBoCvZ+9skm2rGH
Cbb0Jzy6qp53jclnLNCTrPrjP1PvOX7eNTKfsURPN09swG/j8MNE/Iwleropg11D8xlLVDw7z3bt
7oJIuPev9fQ5fcoeg127l2BefMLzy8fnp7cH/T3uQtuz/8MzPvvbc3549mcs09Ns55h8xirl0fVz
+Tzs+OSfsVLPNvmOiS565nsP+Nlzu/lYO5Ic+BlL9LzcsAW8fcoffp2fsUQv4s3j847aUfRx9h6W
i7hJdhV3ojW598OvAkrHKnjaMTKi67f38683jyVXgrTecZZqn7FKrzfpH5NnjD53vcFnLNWXNyjT
Tfm0cyMTuu5PGKb0j1nw7O36Ep+xasWXWLACHoPqcdd7fMbyFe9xlG2KZtdpJUSunzJKJ01Q/XH+
LajyXd/jMxaz+B6nm/p51/M/Yz3z/Hrzx2RTftvsqhlEE+EzRor3mOKmvWOzFk2kz3qHshnfHvb3
nip0avu/we/i6rembHsgCddgGDuH5lMW8+8TP/f+7Fm82VU9CA7N/qNOYbIryUh4wO7/8HqDCWW8
aXbU4QIV3/8NBMyy4xwWvMa9H/7bkKd9f6k31PhBvaNoExjx/h/9d776e3/0BoAo2YXLCZB/78/+
J09odq1V0Uza++m/sVDed1wemm87Nl8Bd/8Xn3oXLPuXrc9HsPbN3XHXP3uPRYu/8Rg/b8r/+P8A
AAD//w==</cx:binary>
              </cx:geoCache>
            </cx:geography>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2C29F7CC-933C-4CF9-BEDC-617C08B8B116}">
          <cx:tx>
            <cx:txData>
              <cx:f>_xlchart.v5.2</cx:f>
              <cx:v>Sum of Amount</cx:v>
            </cx:txData>
          </cx:tx>
          <cx:dataId val="0"/>
          <cx:layoutPr>
            <cx:geography cultureLanguage="en-US" cultureRegion="IN" attribution="Powered by Bing">
              <cx:geoCache provider="{E9337A44-BEBE-4D9F-B70C-5C5E7DAFC167}">
                <cx:binary>7H1bc9u4su5fSeX50IMLSQCr1qyqBVKS5XvixJnkhaXYCu8ECd7560/LdjIWJWfTVaOHo7OZZKZs
qqEmP3Sjb2j8+777132yXul3XZpk5b/uuz/fB1WV/+uPP8r7YJ2uypM0vNeqVD+qk3uV/qF+/Ajv
13886FUbZv4fBGHzj/tgpat19/4//4bR/LW6UPerKlTZh3qt+4/rsk6q8jf39t56t3pIw8wNy0qH
9xX+872zSsIfSmfh6v32PfLne3edvLtSwMM7R9VZ1b9/t86qsOo/9fn6z/dbI5H37/4Yf+EOc+8S
4L+qH4DYxCfMMhkjmIvHi71/l6jMf75tYGKeEGRSZhMY+ulrr1YpUL6JqUeWVg8Pel2W8HiP/983
xNazwEv575SXcb95KRskfADlz/efs7BaP7y7rVbVunz/LizV41vTvaM2T/z59vEV/bGN5X/+PfoF
vLTRb17APX7D/9OtbUT/B7RvV9k7N1z76p9Hm5IThi1mCcJHMGN2gm3KMafW0zzYBvtNPO0He3eI
CWDvEh0Z2JcrHWYHAJqdCGYC0og+wTnGm5ATi2JuMwF3Xor1ZIb2o7xNPgHhbYIjQ/e/CajKh9VB
8OXI5ITbz/juqG1yQhgxQW1vw/sGjvYDPB5gAsRjkiMDWdbVIVZmKk4sTKiJLPMVEcYnlmXaGBO8
jfFkhvYjvE0+Ad9tgiND9yZZ3a/1ASSYn3DBBDa5QI8XHa3IBJ8gZlKMyBP8Yhvk6XztR3lEPwHm
EcWR4fzfJA+zAxjYlJ/Yglo2fk2MsThhcFkWM7cRns7RfoRH9BMQHlEcG8Lp6kEdRpIpLLSIcABw
23dCAC0hgqInGR/p6f9OZugVgLfppwC8TXFkAG+cBbkG7+8QnpN9wi2yWZCf/SNQx9tY4xMTEWRj
094W47dxtR/pPWNMQHsP1ZEhfq1XmX8IpU1PHpdmbr9ie4G7zC0QaxuNZHo6R/uRHtFPQHlEcWQI
L9N8rcNVcgADDGIhEAexNibWXgMMWyeWbVkWBt2+uUZIv4Wz/VjvjDAB7R2aI8MbwqCrZq1X5QEA
5ydY2AQTxh7xROAab6twdGJzJMDnGqnwNzG1H+vdISaAvUt0ZGh/Wger9ADhEROdgNTayCL4l/O0
DTWER6gJazUm+2R7Ol/70R7RT4B6RHFkODsqqcsD4AwxErIRWPCuXhFpcoIQp7YwrW2rbDpH+xEe
0U9AeERxdAhDCmaDcFkdAmd+gjYJKkrZK7EwcoKpyS2GR+FsR72Nr9fQ3jPKJMz30B0Z8uBlAORy
pb+vHicA5OL+yQQlNU9MgjaJildUOcRPbMFBmYOUP17bgv5m9vbPgP3DTJgC+wmPbA7Mkneu0hBe
OYjVxoiwLfKc6BA7jjcEWcQmjmrtNdPfxNp+7HeHmID7LtGRYX6hynf/Be87WR/CVjdPwHgjlJvP
4ZZx/hLzE2JSiLvhJ2N+5Jy9kbn9uO8bZALy+8iODPs51HFkhxB2+4RRDE43fl3ZM27BHzyy56Zz
tB/rEf0EmEcUR4bwHdQE1AdazwkHkxy9ZsrBeg4Rc4xsNDLl3sDSfozHA0wAeUxyZCjfblLXh0iJ
CDDHCYFYy7Mcj9U3JDdtiKabphiFWqZztB/jEf0EiEcUR4bw1So/jD9GBJSXAL5PfvdO8hriK1xA
7QIf1Z9M5Wc/ulvUE7Dd+vyRIXsO9amHsLzsEwoRUmL+tLzG9vbG34J7AD3UHL2sHJvM0H5st8kn
gLtNcGToLpJ1doi6QCgqIsjCgoDeHUdEseCYUWsksZM52Q/rNvkEWLcJjgxWiAa8m0PS8j4s79VP
8fkHyrgpO2EcIcb5cxn3WGqh3hPCKNjiFO68lNotjqa47/th3j/MBLj3Ex4Z7Kd1+l0lD9WU9/vG
+n2IfnAoOjB3BdqEim5MERSJ7ouLvYWl/ZDvjDAB7R2aIwN6mfWHcYs5IqC42XM5wli6IRoChrZt
g/hvS/dUfvYjvEU9Ad2tzx8ZsperB0hL//MCTO0TSErDqgu1+j9TkdsLMzpBNuQ2TDzS3NM52o/u
iH4CviOKI0P4fK0PYXFZJ5Q9VnE/hac3ZSRb+II9vcltgb88tqcn8rMf3a2nmYDt1uePDNlPsMcG
tsv988ILdQYMcIN9Ns+5pz3bMDZeMOSmRgHqN7C0H9/xABMgHpMcGcq3q3sN222yg5R/8hOLQR23
CfVBj9cO0FD+KTZ/QNQ31wjut/G2H/E9Y0wAfQ/VkeF+sYoPUQIKahlKAxmC6u3Ha6dajJwIbGGb
s1EIcyo/+1Heop6A79bnjw7ZslwfYE0GtW3Cfgwunoq/ENoJX0IlINw2oexg256+WE3l6DV0t+gn
4btFcWQIf6qTlT6E9EIUk6JNcd/z7qo9VhcR4C5hC7B/GQ+ZztF+hEf0ExAeURwZwhDf2VSEAczw
33+6ewGEvTY1AKCin2Mce/JMG5BNa1z/90a29mO9b5AJgO8jOzLUN7u6c3WQkk92Ar4w2Nz8WXnv
kWxhm4wTWLofr235fgtn+1HfGWEC5Ds0x4b3OntQ9+FBakIgl7wJezH2nGscA04oFAEzm1IxWqwv
38LUK1jvDDEF7B2io0Nb30OHlYOoc2QLm9uvqXMw3DgWUPS118u6XE/l6zW0t+gnQb1FcWQ434Zr
fZBlG7KQNqKQmXiCcZ/9DTeh6pc/BUXH3vRkvvbjPHquCTiPKI4N52B1kLJ98LNgVzu0FaKv7bgi
J9BzCHG+yV69tMJvJ3P0CsLb9FMQ3qY4MoQvFSzP/7zChu5hpkACqkGe4587VQUwA0wCrQ/wyM2a
zNB+fLfJJ8C7TXB06B7E8IISa+hK8Wsx3phX48wFIVBwAIb2tvReqmn8vIbtC+pJ0L74/JEh+zGE
zbBl+HCIEAk9ERxZlD7npXYTU+Bcw1ZZqPMawfsmpvZjvDvEBKB3iY4MbZAbKMddHyBRBVlmm9mM
UfS8Eu9EPKEg17JhrR43DHsLT/ux3hlhAtQ7NEeG9NW6WR2kLxwUz9uEQXn9czXBHpwRht2wO4XX
0znaj/KIfgLGI4ojQ/gmqaG77D9vcsGWZ0FtBvvhnkvrx6syQSeQuACbjI62yEznaD/CI/oJCI8o
jgxhCONCuyGdrfTDYQJfUMAHG2WgJetzBnIsy9CEhkB1AXSR2za/3s7YfsBfGWcC8K9QHt8E2KQ2
dD0cQMyhLIxBgwr007PayWxAZwMwviHBNXadnxIuE7l6Ffnxk01DfUx1fIi/O1Oroj5Uz16oJDIJ
FGo/XmN5h01TRMDGDCH2R8VAH72BuVeR3xlkGvQ7ZMeGvUpWLxzNp2jVP1G6v3GzYfv6xjh/vHby
GyDppoBI6Lgt0e1kjl7Bept+CszbFMeGMAjQRR2W766/h2V+iDpuC3bFERvsb9Dbm2sHaqg7AXcc
WvruWdLfyNormL/yjFPAf4X0CGfBJRwdcAj8H3PXDOoVnrsa7NjusG2SQLmCMMcZD3j3k5l6Hfnt
ISZivk10bGiHZRz2qv7nLbjNyRoUNlyRny3aQaS3wqewJcuGxsAWVPeP7Pc38PQK1uMRpkA9pjk2
pCEofYhec9Dg2aTChu3Qr4XWHg/dsE0oWxnhPJmjV1Depp+C8TbFsSFcrbKwTFb1IcIuDCpCEeyO
tV8rB4Z27WjTkoaNtmDBOTRv4OoVpHfHmIL2LtWRIf6phsaC6UHatsMBKhyiK+BtvWqqQQEDxpyM
tPdbeNqP9s4IE7DeoTkypL+q5BAGGTTnZ7CpErbojBdnWL0ZdJeCLbTbSnsqI/uh3aKeAOvW548N
0vr7IUqCN+WCGDpIQVr68drZtwHHpsCeDQ65rhGyE/l5BdmX1FOQffn5/weQ/T2LWw+8Od/svz/f
7Z4IyRuPqIMib6ggsW1oALlfFW86kmAwvwD3fRW/0EX518l6r0Ztng732zmh7iXt1jM+PeLvX8ph
Tp57/VS6X+f8uatqNXs8IfDFwXS/v/s4qeFswxHpc1HWHhB/dQlZPvz5HipzqQUH1bxAdjPQVknX
0/ExP6fFNtUa6s/+fA+HDcJeZzCiLNsGt4gKBKHtdv18C0qNOCzH1IbuMxZ0unj/LoMjEYM/30NG
DHrGUVioibBMDBHz9+9KVT/e4nDeHez0QZteVNBC1Ba/DnG8UUnvq+zXW3n++V1WpzcqzKpyMzB8
Sf70uQ2/FrLgnJbNkg+nphGYkxTWhvx+9XHTiQdewv9p+rYxK5O111XXxI5ZxV9U039kqmlmifCv
U1xE9ypsMhn29BOtaOQ01PBuOWt/GAGaE9sy5UCNQfq8mKEs4TJlfjILtfdd+zF2uoRp2dTZR1Mk
/gIJ5S3axrvkcLalG+Tse03DW7sZvgRpZTskqWpJctPpVJCexiw/o3mZwohBJKnI5kNCbuG73LbC
tdRtHbik7rGMeB053mBfVrH4DA2yA5nF/kNU8ktTex+Q2V0HfnmqGM5l0/QfSIDQ3OS0kZHZ3HSE
qRmnxJaMdK1Mk9jxfCKHoXBoUUdLZJJQtjk+xYGXzkWlylkcVnxW9zmd0dhb2HGipaKpOPVy85MW
lWx64daUzuq8RLLQVuiEab8ccGQ6VRZw6aPhzhIPqfJcTbrLskzPWFP9VaMhdPKo7KRJw0bWvZdI
u6kDaXX9ukFq2WA2Z9RgUqDgzsepLwU3nIQnhTR1Kv1wOI0Iu25DdsVM3/GVvlOG9b2u+3Om4oUR
D65NmVOUeFl78QfS00z6lv2RwxvyQuZLQ+l5myRX2hQf7RB9j7sByQ4JLC2EBylY+zkl5teIiyuS
s9apmsyc5zUupejYOY74JyOhmWMP6C5sokS2WXQ+UO9z3umrvDbOfR0LWSbJ2jSCb11jfMppfdEF
3cdK2HNkG3/VRnSfiMiSltU3js59JodE8Rkpix+s729RbYSyMMUlwHTRRswtdOR65g+cWzOPwOO0
9TDPmSpdYoa3KohO7YgriXy2GCJmSZ2pbzSzv9K07J2s71Zm3cL8wkUhUz+LZVOpC9wkDx7MSKFp
6ppELXBin9V2f6rs6qExzEiSgH6ySn/hh6EhB6+4waitJI6bzoW+roHURh+5RlBz2VOeSyTiu6iC
lzRkRiStoLSkmZKPlZ3PRJ6e9ijVYlZWWX7m+a1/RWp115Vfk2JJQea+plUoVV+g08CPQzlU5mdV
9MGHvtVi6cVJKhUru4XZeKFEdWs6dYGjWV8HlgyN/IcVtZW4aHFRZR+8wIv6WZXGxfC5sVQYS6vp
eCmk78XmbebRPHYMn96FZqRmJq5voUxykF5vyi4zLVe0jZvwKHJZJhZ93paugTl3q1YnZ2Fuslna
eHiWt/SraqxoNgwgbkkAUzprK1sGnXZCy6KOEaauz0V3y/POlioIrrtgeCBVJ8PC524YFnPU1m4d
p3g2dNibZTYP3Jj784Sxq840ZZWHzoD4l9DK5gG3PFnxYG5X1TLkVGrUu0mnbpKwnueNUTmDUZ6r
vMyl0VRnZpD5V0ncfY5N+xbeLl4UwrwqI33TFfVnEYtTTc3M8b32e2mbd0rRv1LEEkm8wokSmsqi
GIa53YZ3VtCZUg1p4EC++6r1GiGzlrZOHCQXqB0W8FvidGGUy6KyvuaGnUtSGDNN4x/9UHzOI3aX
F+Flos3vuhyUg1J2bVfizK4VkmYRUEmLFsu+8g0Hefg76qKPnGQXAF4hRTS0sorZ57RpWpAQWjlW
y4NZwX3XHgzThVqKQUZx4aoKhKkH0WMDPGdAlqXfNDIMqo9RDVqA4DOE2blXVxexlWiHCVbJpLUD
6TWpkDRME1kzHrlmioeZF1drIxiquRJFNK9qEco8R1eZJ4xZk9T9Kcnw2eB7K6NPL4J4+Gz0lEjc
9fdGU0S3fd51jm7b07w0M5n2InaZX9y3CoXS0Ch3VJp9Drl9HuT5fTiwyvEJSj91mT41MvKZkTp1
vBzQSJg37+sYudzjoDbaJUtzz/Xs+jSPYHXIq3tBWlOWaQJzrUzr1pIJ8g19phHuG4kSP5uZtijn
pVeV4htJy4pdvjxid2ulvVd5r0M/eD4x+deP//mkUvj7eObu37/cHLj890+LtdocPVyOP7SxiH59
6u9zezcWyK9DfEd2zdOpza8YPb+9+SaLCKHfWURPx63tWkQbqp8WEdi2kBEGowdtqrrIZqfEL4sI
jCUGFbpwCCTYvdBp82+LiEONEFxQ3WnB9kebgbH2t0UEqzMkG6E+SECaARINP9/CFk5gCu6xiCCc
PbaIwBCCY3SoDTtpTbCx4JteWkS+Zm0UUZ5cG7j4CqdKg4DVyXfcW8sEp5mM7MEpdT1jVipRw+YD
9S9EX1y1HNZjr02LZRoWqaxBbjWrydy30BwpetuGDZlxpmqn8fsLVHmubahchri6CznJnQQnF4FV
JE5j6NMkLlep3fmyxuaDR8LSyY0UVnSrO+948xDXuHB4DKoOgZlh940lcZ8NM1geE1enVucSXlcO
q0XtmD2ynUpl/TxT/Q3pLcslfnJedxaVvV/9Rbuqc8usf1DIPgMXNHeLLsul35QxrIkU1quhlhkT
N4PAXxpv8MHcgqUjCIwWBLGCH+0I9LGfE5mmvieZt6R+Ne+Z8kBblqEkbXc3BP5lxbLz3MvPA3gm
WNFCLVNCPrZh7Da+n87ijFx6mHzy+qSagzZJJTSvaGRVNpXMY4NLMKRPU9qHjsfzL9zShmOj3q99
x2qK0L+tSJR/Q0V71w9me17x8jqnVblIcJvIqNDfOr9Zhlm8SPPWlmZtKWm2vZI19YgMPH4Z+OSO
FiWVddheG1BXOovjenCJNfizQYRgtWlhLAxVf6RG8GAlnlq0se/gOo7Plb2qulUu+rmZ26uyp2pR
a7SAE0T8mc7bVN0JHGS3CUryeB36w0PbBR8HiqoZq3PFZKwDzlcaR1cezO8lqjJ02lVEXRPtiWsz
9cqzXniOKepZ1jL7FI4OjyQKUOgEpuivaDSwUIYqbReJxb60WeuyMA0uaafWxdCQU6R8UUgNC+kg
/1fPPXp+m90dv46d3/H8Nq2FdrXc446QZ78PKtlsiLQJy2YctnkKSJS80HKQL4cd3ARBJu1Rlf30
+yxo/L9Jlm42EIGS2yjAn1rOhK54AnMEx2rC2TBw1M9btByDp9l2+2BL4qaTMeTy0Ob8dNDPL5Uc
uEI+wrCUX7GSlTJuQu1LHpDEZWBdL1jDVyUYo/Mit4IZ7ofINM7Sktfg2LCQRF9DgmvvOvBUXSxN
qDxInaiOWjTLDatmN7mpdXuTtflVTuPwk6FbImRABzaPyqH8wJMg+kYTa/jQZ72/yJFH8MwXrfJ6
makkBNt9COZVUZa+W1idrpemZ6QRneGKJeXXNLCjLpddMpBucGltl2E5J1kX4rM0bQd16w99bCzC
wovIrFK+XgjqIzdkmb/omsp2tWojcIb6YtYWHl40sY1nbVcMCxTb+m5oQEGdxqK3hxkt6953eyKG
bpbU1C4uc+YZwywzc6NcohxczrovA+XmRIE9ads6AlWZRzM768sFzoO4uo1pAua9bebJdUfsgCwK
Bj/3fqn+GlpTRDIv/DjSsgsUWxYJtD+c/a+IPoroZo/O6yL62HR1V0YfN/b8jM1gOPLQBklk0OWI
gLPyQkahFQ4c1QB/IfBKoNvZ35aIOIFSF6hegh53EIWhJtz6KaMQttlkWDZpFgjaWGA6vMUSsWGk
bSGF4+455NJh4yjEiTbDbQkpzCEISdRcXJNU9zKy8JAvNFV+9oEaWUBmVpCW3jdBif5AEy+zz9Im
zJyhERd2JC50JmInT+PvcaHO+iKRDan8eW+aKpA5TbrU0XRYZh0tZnUjPsS8/ZF4aegwzVeiJguD
EccvQ9e3igXy8wXP6FWXG6dGmHy3dEcdFqkLP2o/xCSMpF1p19f2Key+OUURuD1Ut04olCHDqF9A
bPuKDCCEBNWyDaxkXqP+tMeNlpmBv0cpll3RWEvN2V/gSi4H3d7nWXfJhU7As4dn+yrA0688O5a5
pda6526cREhGoupljFRxPRjGvItQ5pAGnxaVOm/ipHHaCkUypoae5SnLlrCDF542M5BbquFLWjaX
fMCpbKOSSB2bekZCKgOTLCJa+3MdU1jgtc9mUYtXPNbncRk3bmFCSAur+mvaed/qKLoNMnXd9bAE
G6lnzdMSrLkMZUuIw0CoJoR4DjZSy0Wt2UiVcrXIg4a6tZGmDuxBvMij/kNqxeCZFb4MSPTQpw2X
iGem1Mq744mJJfX7VUbqVmqMf1TEOMNNvWyr/iLSYIt5oopkU7LsVLR1e6HAkHB70zBkZ1cXQ5ys
UyNr/wI8zyvr25Dal6CynSZJbpIiOkO2d9uWUQWeWRyVLhxjUQQXBslqUHNh7PsyTxIV2BJDcK24
6nyLLZOSmwaYXcEi5Fx3YCYW4pIwIzhjsWoWJIjVEt5LjmYmCvMFWFfi1ou9WjhJj7tMFmqwTxur
Nxe5tszETerOX+BeBYlkmSYXLEnqL1zZ/NQYYvTX/4/q8KVis6D06nea8GXE/ylb8Bj6faT65ZRB
Zf7maBpkQxQYTiOBAX+ZK3Bc1WbvDRQLcMhYbOq4ns0VE8o48WY3JXpy1zYK9KcqJCewD49D0xKw
ZKCAQLzNKdtEobei1AKONYTGZDZUlFIoJ4bc5ktzpRqoyou67q4gxiJmTesFOYRcIxY7MWubD7Zh
9WdR12TxDKG4+lops4EQT9kVshRZ8eXF29vnIkJN25gb2KMALeWhZ4O5qX7c5sbM+jwWQd1ckSLD
V348ZB5ESZQdOGBfKCGb1qy/siaHWKVOeVU4RaRjcA6HkpkObD7NHkRVoWsYI6hdkiT482AZHC96
2/LWuDdwN/89x2RnJYH+MbBbDtqDCbD1oM/MiOOQBYBtX13RzvIhRtQNyecG1jE6r1ivLIhYd6Az
QuZxOTC7D2UfI7pIG91jVzeqegi6ssQORBQtt6xCBX5ZGqBGMm3F/sxXUXAT1wJMRBGULmQxxV0Z
FOdx0lrdLCwN+zLUQZMufv9UuzAwE3b/ARBwBKpNHx/6ReqC9YbfGnlSXmWVJ+6UzzGRZkxgauRZ
3d20nRa3uYeTJwUCEZf9EYLNXHs5F6FVB5zJxyiECCChQ+iGrRdfa6HON/PSz64yWDuucBzUV1kJ
wU3uBXe/f0AQn51vghQQ9EiGftiC8dE8yzMTQoU6UFc8R+aqaJVOFl7FeyLjPJihok4Gh6KeKyei
Vpv+T5NmMym2HxQmCvRoNuH0WGi7Pf56qO4OAz9LwytWxNYqjWprFScbHqwhLWe2Vkr2CKBftEnR
ElnEiq2rRJTLVvTmRWdTjRzaRip2Ipaln6nOCXUD3vfr3GhyFxlDyhxLKFOfWtSGKMPv397m/KQx
/2yjNuAUPWJuaiK2gUJ2bWWW5RmX4Kukq1BXpQ8rcVzBwkr7PvPP2iCMv0MsOr/ohgJCyMrsQofg
hv2o2AAx2T7wmWOqqFmHmrKHxsoDdvZ7Js2dcBPYlhQm0abbADh+1qOn9mI62ZqHSAcVvYzMIvcE
BNRFMCwgKEPFvGrq2tFdgT40aW/VEHQJmKNxtiiJzheJmRMnTor0Y55YaSdZ0vpf2ihVy76sIGhi
Fflnu4y56xWZ59QqiiBIABm8VnpRmV214MNcF8ZAZ76PwQ8xBi9LwXqCzJtlV8lHEvk3fp/RTiY1
K64qr/hUkdSgrt0QeJFhT0A3mPUwSNTy6CIJLP7VQ7V5FkBk7WLwu0Y4LQrMFI4R7cOlwXUPllbP
Bxe3luEOUXefl0V1WyODBbJNKzb3ymLj7BHyqQhwGy88ZmDIeQSx9x0apmkIXGeF8a1OWermeUmW
scryJS5E8hA2OUTYc5rGt6HwOiabwvTPtKdrp4f3sMAmEddFm3Yzs9XFHOMOQ4ITDt/0naaF1KXT
kMCbpSXVbp0L8GwNcBkxVtUpLDWkBXsusiUH//OvLkXBOdEiv7VoZS1qERlkXtrpsOK20rMSAvXD
vNnkK4yuQytSJu2P0s9zyxlIBdZv5pPGn3dVpEA42hY8wabmc7D0AjepaHqawUclqHOt4EWnDZNR
GUWGw7yWSaasbpBmlXgOrYwsXWg7nvlm3aMPLcWmG5YaQbQLZlI1p1UrykVHWXdhx8OQeB/qtqjS
VPZh0mf6IfACQoavZWt0LA2k0KDK1T3p06iiWtZVXUNov4ohXdSdiRC840bUlbdMdRjmMiKJukXM
oMuop7SGpJNIPAlZKtEBXCmkhTLPg/WwSuK2mNlx6yNHJxWGmEGBbKZO4561gdt3iagu7LKiMKNa
T+GydWpYC+e2EUTedQOiY/tOwXMOE47GZTrPklALmRSweHmzrgltx/CgygJyHB7KTDjL1QOrOhB1
60EikyXprPTAKphbmZ8ODh8s0JgZic3aSQNtgEtUgiN+U4Zgi8+UH/IfRt2wELlIkWoRmrzmV5bh
+d5ZRlnFrMjJurIY+tMSvDYdzHI/YOnMK5uhmAtdZuG8T+y0P0WQ0s0di/QJuFOd1ScLHRah4QCs
5IuRpwN2oYlBnLrwDxnX4MgYJbzyLPsSpalIlxSyyMksDir741BXlM4jQxF8HrQBGPmSBSSoFp5u
8uwWFmN6FvkDied1DhzMVJX4w4zjbhAOjyBNd5nyHqa2AaKiXQ/j+kxTy0pc36N+Dbm8BuAMWQn2
STZEdFgnMZQGuxwYSF3ap0GxxCg0T/2QxZCgj+OCuqEKPXeAFLIljVbn4ibyWsht07CIBpnm0WCc
Iy8x5zj3fAvYhaAyBJGCQS2DELf+LBZm0MrN5yQWochg+vi0cLo2hDqCqguNbxoOJejBdQQ5Ild4
yMIhlLwxDfqpT1pSX9kQa1VuJorq0qozWJL8ksVAIFLIIcy9MMDZ1wEnWXBW9GnSzcvWGsJzXPnV
JzMi1srqvNSTHMPknddZx+istIcQmK9xlLoJLeLS4a03C3FYfE3aFiyLyI+a29Ky2++5Duhpw1rf
m/EYakhkxj0Yx0pU1M0z3eCrocup+aGsLPwJVwZ8orWNkjsV7lk3a0gahae6I6RdZswvyXVoMHGX
oWIzOaOoKBcQ5grKm643K+5ASBuwCSCVnrqqBKV7DiuYuKMcwexOQUtqF/qLdWoJqSyP3EQaAtIf
Cc+EuezMqK0vq67aGJ9B391YsWF3M9Wm8NVKDUMjO5JWm8AX2zz8hvUW9BPwlaf4yrQyeIq6sOBV
gUsXD46IGxCdPIFM9IdMMxB5XYNV4MM90KkEihuuC2z2OpM0D6BgIWh1V1+mRpCXMkR10c076OZA
Z31TkI3SAGFy4IlAgXQCb+zkKkvvII8vzngTQsidB1YM86L37VWbUWCj01H/kVYdKs99MHMjyOxm
cXTLYbVYlBnCV4Xwi68QtrELcOODkJwp7ov63AuU37i9ZgVkc1hPFzmB1+ogVvT3cRJbN11dInVa
oL6Jv7R2CuUiKcQcIVUrNjokLBIoNbFhX/MsJH1QznM7FV8MBAUhaZv7hWQmqLlet8HHUFXluUjj
yHItookPas8yYTkKiLjTkdH4s4RkICaD4VGxNDOFi3UKCrk/g5OMQDbajcaeRZYBb7RrhmYGi0xb
nGNdE9vxRFI1sNLSBoHpXUTftGjEJ6MHM/1sEJXGDxVkckooaMAMsh0tgaG6FOK8jtn6tr/MAZbW
MWKothigwqe6hKhFchs1ZSE5K0/NtGus06G1AZwY4XJY5Mn/Ze9MluNG1mT9RDgWmIHNNWsMOTIz
mZxEcQMTJRERAQSAmDA9/fWsOqorVfXptlr0oq+dXZVEUiQzM+L/3T/3bPr+1EVzcOcYEvQllZ0Y
j/UyDTC+Qy3oEyYR/Y2kHY4RHJ16zBqqJwAh05hI3AKLfGxr6bJXt1/9ZMxWTGDL82B8J8UX05Uq
aew09cGphumd1sQZ8zbWUbNnKXGvs3aqdassfKSSrRZPUuYZ7t/PTbuGZxFBm8jkMBJIGi4N5nzB
dKPLiQ541KakY3Wm1ljg7NC6Ld3Zn1Uxtl6itmsCYyRrgrmOi6VaiIazrCP5aQoX94lThecabrr0
Bc91oe+7tHNxwHpDyjcJ9Ocpm+1nWGxT4mZNM8bPodfJqZjC2gSnoGqT8UFWOlW43PGMLgfm49HE
4rDMd8w3TX8Xq4H6995M2mhfzT3MejbPTn1qlDNMBVQ9nBmYxqw5tTdNLlNpU280TRpaTDMh+0UG
eN0vUQTRKajo/5B7fWJfVa/7D/Nn+/pn9/r//G/zuG/NnD8N8X/xfv6jhWP/7cvPCswNFvz9037o
KQg2B7fSR6jEYPz8GLvJH3oKGuJiSCOwZmF+ux7+6of9A0IfyjIqigKI0pBi8Fc/9BTk7EDngfJF
EexNrf570vLtje1+2Y1CgEioVcGZgpEDhfB/Wi2TGZKdTai9cGaGQ9KmwUl18zHpWpmHVr1EQhSS
m2bX9XG7fqe9ls7VLgtmPBA9GC/aa0qHDhDKcjV1cOi16Deyhd3rrkAs4saFA9OOQRYMdFM3I91j
+CR5PVTgMiZd0zwdZbcR8dDax6UePqcUZqyDlpAsxgTA88HTwWGcnfUQQgimVb4kCzvYtoEdUzk7
46iPOu1WSBKk2i5QYzPqNum+tfX4MqAm++ixqDklfofZnz0O1qdDmYiFbAY3YcWoIAHHY9oVvb/6
RdsyL/OiFMeFmx6bWJlS1m4eGs9swnk4JyEds9HvUxjT65w5lcFIQbtppyZ9drVOwfXJz2qq7xZ3
Kil8eU97JxLUx2k1NDN8sBnDUQjrPMknq2Hj4hEGd+XAAVam/qimPnqDzTZWGxlKmmEnwrhKtbtL
lX2gjf+YQNq2+yGijrkyt5M7bDV5J2m0k+Giu8fIkFRl1FbxmPlxFWx9dxpBm1XhB5TXaX9LDG5t
1zTFKrr7heszLKlD19KzJN4xMc6m19PBEVHRrzhqZJcRvuYhG75NnffATPr5t9fMP1He+991hN9R
1J9Bll9Ohv8vAZkAL7V/7Uo9/hZX+/PZgSA8PuuPswMHRBDfvJ8EXZNwaX86O/ybrOoneHslZOeT
27Hy4+xI4GV5t4Z/QOMY4G9f8MfZkYCq8T18rQCveCDIf+vsQDvtL2fHrb80QEFLgDZT8DtJfEsL
/SyANd0AjIFwcvH8UNFNmKwqxzpjvypuyzFo5oyIqtnhVdLl3E1fKjOCJ1NUFujmezeifYzFlGbQ
ngq8mS/JqoG9W4fs9SjvGodjZArhozI5Aukazabx3bcphkOgvUkfhZR7Oda5v7ILduC9oOlJN0vm
KrwKbcWxyS9rn8U62XUMFOLkFLFvQClGfd47630T2Spv2fTg+eZzymL4GE13hWHsZv3gPDmUqbwa
uc4kY5u6io4tf23Z8oYN1sKC4w9awXZSUueuCI8CQ3vJ12679D1e8ENwoWwNMuIGxzUczmNnj4mu
vg3pdGRe9OYtUXMN4HTldVedpgBnQ+05nycVlhp2/ReFrSeboNisWr3AK/tWxxzSyIDlKGrb5zl2
vtlwxA/SprumSU5LW8Oex89QkebE1uGL5r3ejFXDymkxWIQ9GW67sMKMQcF/JOJ5GaqLttObiEyf
NbF3Nydya4Kmx+oEuGlM3E0CslVW4aXxBtA/07qzk0tyTMIvPEo3gOlOE5wfYpIx1wm/doIE+djN
d4le7yadkHKqhldGgXqOnuSZBP0q9QLIpTGv4Todp0iqzGjx0SfqhOG/BipYn1OM60VnonLSIJdc
4+10hQNNy/rJaxW8doprJwYgOUV2KGGkf+vq+LGulq1tprkUvTgs2JHB8zjf52A4rlG3ibj5hD/D
HRaqLBiTpOyBUmWUm/tO8/YuncVTdNe7TQu0Gcs4Xk8F9SHExFZ/AAre8Vhto1FCx7Cq3uADISXK
cugBJ5EGHOXo6Ed4mFseNp+Dxd2mwJGyIQmPmse4E/o+KLpOXC2ny0bqZhOYtc3XaiwXGg+gvNMk
b1Z1GtJWZ1xUpgSSvfXq/tiEwaZN7Zo1qboGzXTg1PCcquWsUvzug+po1tBkTsLi5asF6P2Jdgbi
ap2KJIv6Ln7wBhQxgelQwrmSIZUPUDpEu3VntjE+2TQOLD3rVR9NPX+vwpTktG+hcsn4EHfzi47U
u2mszIa+v8Z1unVoc3WHdp8kIswhuBbDHEN1jseCtURtktCcXb8N8MMNpYxjJ/NnvuvNHJS0CqYs
beM1x54h8gFIpunnjR8tX+bIA2w2vwHjLEm6POOBplnCnf3CnDvcbVvaOPsu7bMIQYKat0XqVDsu
lk2TdHU2J0O2BOvBH8wnV6qChmA1PDFvRgG5yGf8LmayyU3j3ej07ZRG0CYEHpAXo/h2me3GJlM+
CrtnkHiypsMmIHRBWfoqOG8yrejdOKRusUqWbmYR2WxtYLFKcvZN+lVPAV4ES77MUDeaIC38YTkF
CAxMyh+AthF19KYJj22YVY7dWa2+WjVe+JwUmgdPhNUiSxcFfzYGjxaCSG3wKiQJzeTsphu3IY+h
rb7LSOPZOYq9Sesk1/G4c+t4zh0Z7gJf3FdkHcHLsoyzEPsyG0GE2dME1G52OkC2TZsHdfK59W1m
4Kfam6m8kG0a23sWjZ+IN+yrYN5EI4nLhrc4/+bOyYaof/BtanK2qktAaoCCfNfiABzYeK6i9UlC
+5eeuVYe5CQ5ZpEMoSWkS7Gu3iaKVOk7LhQGPcJnB5e4Tv4mDc2RdOsGvvaYp9Bq5EDe2wrGu/Hs
m8+SNp+80N+7cX3vdks21PXVXZO7NEESYF0dtonWCW51k8f9RPNmqHkpHJaCNgztNqXzvd86m6YF
45gmH763bjoxFDoypVaJswFX3uWTYy6LGe5NnDzPzNJchCG0BxGm5QxJ87Xxq6Woh/GDa3ukM3lp
bbfnyATQFIutVezBrl7hMfUR1ktprTuc6TxvIHs9N663gqcH6Y+AiO7Cq3KqHkmP9LMTqU+znI+T
gDOlIV7n/nDTgqAigx+kc3gB9X8MjMExHiz7Sqa8y9xKLsEu0rp5GVtnagrX6dyNs5opT+akbAnb
e2EDeGgSa4G0zLdg9G2xjD1YTuV+Sdf14irhlxgX6qL23M2sVp5VPmIUBjmf1DQnw2Icl8uMHE7P
PvXcu++RSgiabsrGHsw/1V9RBVFgrjzEznLR0bxfPZxfKkb4pgu753lxXoa5f8Lw3CDq4RdDy9ws
WaYLkCpIDmvyuHYDpmvL7VUZzsqwjfku6EiVReDL51y4/kiPP81T/5wrf440echG/Wm1AR8HzCQK
oceAMcaM9PN4oiUAuwWo8MV9FNlruBnvZQ5xK0+/PD3oU39gZZ+bHbsLt1NBd/2GHsJ6x090++8B
F2supj/Mg/96wP0P8eVbr/464N4+648B9zfMGyXaeNcTL8Ebjv004LrogEPB+u29UH7djZF7wzsf
4R2Qbm89CAP2J9YAdVMuWsbgk6I6Dpm4+O9gV1jC//IEgmBKYPJiko6T8NZR9fMTqB/CtQmXSl9I
6z81vX70NCa9QF+beeAZ8nL0UBMYVm6w4wuSPqJpqk01RshDzbbKiBwgCC7IsEDCfiDBuuYIurkZ
xr0o06t7NUTCqE7xtbq4p2XLB3ef1srLBto+qrjjCAr1CQij+eRI0mei40M+raOTO3NYFTAieNmO
npMpM8kz6cQTenLDUzyu3R33PJP1kSexXAI+9tp4G2jstcnYT3lEaZ2tqnuiXYKXpSOQTVJ6D8hz
UyWmLjUOMUiZ4jvc0Bc4SU7WeuGu951HcDhuVkl9Wm+i8RrW7yBFMNuFdsmBU5ad2nP3zq39byP9
ovwcl9Wu76u6mEYLZ3i1HL+Rpi26dm4Kb9VDOSz8C2BNcJxGfbNmOrhmwJxA8AOpsdrjzL5fHAxJ
S1c665017mEOkreQR/ue8AA3Z0iKNA7vVK3umZiRmRsxD/SzewHE2eLgtSVgWjwkPvhWU9d6H6uA
ZPCHHrx6Cq6pQ7/OXnfVXQJ5uPXbnLnU3Xiy9zLcsi4GFED+Q9Wbsm1uIbNmchEuSu48RveLZUGG
3afgSfcwNxow9mrdUvo43BMNlSRK4TSCvJVlLc34WBvi55Wbfqqdnmc9mChJ+EE38VOQrl9cp+62
YmkyAyCcjzQteiBU2QCHKRuCYTeR0csjIw94bz+EyJQE0Cp43lRuR8Damu4xqST+YaUByveXNVBf
WT/1e2907vEE/5L2rM8Ur7sDbdxXXNcnBYescJIAyMfkf58n+31Eum6jzYy4kk6qHUyrd4GXaIa1
BnctpJQNm+xj6NXYwBJyGDn/PKzpcZUuRIKebvvJuZPLgguOJGRj6grrVFOBV9P6bPiKl8/4ROvq
XdIYi5kPm5A74rFafQoLwn6SfrxvpKl3SYgDeulbBAQigVWk20d1+KwooYfRdFHW8PURX3O6Ay04
wjXo+9LUkcp/c4hGBavPTW8P3uwvOci2qHCr4JPuucrH1dpM6647aM/O+ewAzqMLk1mrW6TEZvC4
NanqXUepuudRmGaTL4u5W7ARWfGSeLg/a0MhynM3016P7JM/dGXVYunVrGF4tRvEqxjoyp5HFMlO
uydrQvYyofvYrdpthO8lk5G/ZDgWTZZAWAZ3t2a97HaBwbbhRAXvVwMDF8P+0GIlXcPA5DCQZky6
NC7SWhcmcGEB4j+cILzndZphynp2Z34MlT30/nJOA/U4xiOmVS221KmarBPVikisex5n+8z6sMva
hd6LwF6benpJGkRQxfqqK/gUDQCmTPT8BSb/IZjJbtH6ySQRcqy2IxlBIg7D/HzXaFnGRPUbsSQ6
89R8qpR/bbqlLefJLWNvOHjWdtmi7UcQVm+sdi8gKc4AP+4lj5FeGfV7VYVzZpv1taXIXQQSCxpc
rjctYqjfSwXhzBueehpglh16JMzwrAHpszQvvuXhjgVR52/RMuiVtIdHHbK++PcV/tsVHoIP+9dX
+AsgQau+/PUOv33ajzsc788O5MqDWE1gJv3CTt8CXnGKazoEQQaZCvrVD5EqgMDtIl0VoKDkpkVh
KPghUuEtrwBh/F7o7v72V3+Dnb7NeD+jSyG6qxBrxxSBcMNNU//1Cp+JU49KdfaMKEAulc1qhG5Z
Iv47xIhAVfvzPxTiPX8CzCRI5JM/g4ku/DgZ8WA4Exumzw2VTpSLuF3WHQIeIXQx09lgr3W1PnKM
+xkiI8EnnsT156HnyUHVS3p0EV/MBqB08z1d/Ad/6UewH0sdazDMXPtv4yyj5H6q5DhuuAtRYQxG
hqXYaS8Tb7VbsmHoPfi6rR3zxKkrqGe66l5Zs6TlTZ4D7tx9DdtgQi4cOYTAkqHN3QHL0qavQHK3
OC2cVvdTFrOp9y9kdMPmbmz5RZkGmXgo8IAq7n2XfA/18K2TNVAd8hSPcgcgcxs6Ub9FVBMZ24Fh
5ag2qSjDWeyrZZGF3wh2W0qKdpEfNEHwaQjOrjd8WH98bF1Ev6ZA8c9AhzUOuMaecO2rs9RhdGhZ
igVatAgTexqkuON/BECXdrC8EDs1crhljmXGWicsvSk5YS8/605PxeolY4E8vLc1Xfy8uM5r60F/
BKwGJciY2oshFHlQ3zAPlBA6WQk2Fl/CeFi8I/WsAuPPRZR09AGBWae0savKdCbzawAxEL9FrzeZ
bqwqAkctBQ/XBxmZ5EAd1z3/9Nr7z/aZv7Kb+HLI12MSBXKHp/Wvz2W5KFnXc6LOuhRfJpDnj+tj
nGF/xhbT7XDR0qIuxTYuVdll4SHY+KW3q/Lmv3mu/wlUS37zpQDyphG6KgD8Jn8aixHEmWyNsMu5
8urD0tI5b2pZYQMNPLjHTVrKsfI3yosUy6qEnOpYVQcXj1HUSJEvMW6miiwZLtI3A8tzoz3Y58YM
mD3XtxhGRcYrB0LxOn+S7RDjUpFLHmvuF/OEjJ5LuUAYcS4XP91OLqTlas1lkFS4JNPd6iMr7Xlb
xCjcTBqFJ0UKWVJ0Oz4HMHkCVDSQoZxg0XhVQ6H2MLcYoZsIAegdL+LzNKf+VtY34cevn+up37m+
ONk5IZDZBiASeKLFqQyQXOCP//VD/Oshgt8s5HQMg6jKSJEH89M/bazp6k0oAqjUmYyCb3EQIHCu
kGRwGC2R04eJJmsc13+c6P/Zs+rXANhf/80/PZrOPMZqbGp9BnrzOaxUPkNGhO4cgwKwp15WJMNc
NWSxhCHYapOFwJ7vVoU6isQJ73qWvBIGbmDUzgfqAzaDlCeEoK6kWr+GtXwTE5OF7OTw+3r/b9/I
xyP0xyP4F9P59/r5jpn+r9fy7TN/XMuomwnxCoV/5KFayL9dsH/4zng/lADoC94ABy/i3xKJP65l
NLPjDctguKC0+Xez+setHP3DRcUM/OvIxe6PSNPfWq3jX5/paJtJcX4hEXCDiuF8Y1P/ZbVGnC6E
RpY4Z6Sned6i0oRhSejaqMs61/SbJl52jg78nFNxJQlEdCQTh2ySoHIW0xctN8gGucA/kTfEgB/1
iBcvVSFlMoF+1O8gPF+AYb0NRJ4W6+9Bsyd3g2hVGeB2qwb/uU7VVriCFzUY19mDYRRK/2vksnyM
I2AgPrmmxIENk+BEUlx9InP8MQfRvOHT8Cg8/hy7t2oKIE+ZdeK1FKl8DexgC+YO0AKcacOBexay
dzadbCyQY4WkMGDDoEKeGQLgga7xxIqw6rGNTyF3imoO3oZ2dJYrBzYzbtrZnYSPyd70T1ZyMiBC
5AZ1kQ4eNrIphYkNhwzwIi4vYtHosvjlGEK4g312b/lisrRrc9FDU8Vp9c3E8fcKQ1JWsSTMfHNu
x2dPI3dcLRMY3dQiubT0j/HsNpkrvDfMFMgOpcorEQuAy9OPx6jS+iBJ9y49yhX2eNqTEh0tbp1F
IvCusqmxZ9A4LKaleSJ0LJvYLpme0dIwk+C1C/oXweL+Mqxzf0c6tuSA3krkyi9+Pey7tj9rV28F
/MQ2jQ/QOV5jjJIDslvLvo84KL2A7BG2FhnFzw0qavbyKsKiSNrVz/H9fEpqww4jamzKAb8+wH0V
BNXJFxdcRk8oyRk3YgAuk0bxMRDMYN2eJHtptOO1pWrR31S6GCFWb7kSvTYZibQs+K18Rg3ksUZv
UCUBtq3Kv8g6Bdzr7aSOriGP91W7bpvR7ihZdTGaGguTuMwpklCzd0unjXkg8MhPA6ynEICz4J/C
uH+C+LOdpuRFOAjVp0rvcAQ/Dd16pyb2qIR9ZQatQ7j5M97SIYfGrrKV+QixTuEGwRxvM8fLXdT1
5IiHnGfW8u+47bJR4XtzljosfX8Kd5EHbm6Nt/4avnkKuOpNfzW2PaGp40EAI9gvoanvfCd4ZHZ6
7xzMGfpJWdfNU5lea8qLAep3N6wHFbkvJOUT1lS+1Uzt2MIhN/n+CU28b8LWbOvE0WYwsPt8OaDg
qWa560AMlsv0Ja3cviQC01m0niFqXChKXEBBHnvtFL17Ky0I3/2BRAWp+ONa08uEYVmqCb0I7ksr
iVsSD0YaiL+cNc65IumWi+5sUceU0bR7H6tAlP5U3aUA1DJ/bI9tiw8D0jEZa7JJiX1S2zsICUd8
5FrOs+8fwFSbDOHHFqMfg5+D/pROPFDokB54lPozZ17ZhRx9UyH5WB29a9j4WafTZkrh4yX4Fvzk
zSTdSViE4iACFL5rc2P8naqH1yUG2+6JBXhzEN0lnn1IXNkW7jxBSFf+K7NqPyE90jpjlfVJcPV5
vccYePW6lMF0HU/hCLdjDrtt1alkn6phR5sYwbvmExaKu5ro57gbSAaG+MHQoPCG9kQ7ZG+I/dSI
4FExPBZiGL8GAi81ok6oobjMLVyveoGOz9m4az15lKn3gCfJobdoFKLKXICgbcYY2Iu146vwZLHS
oN2MmmD4mI5O6h4dn0Atmpx9AKeCqGCDqWsv1mk3jSgLWpu7OTVb065XGA4mi4U8+b46zgOesolA
35Jun8FsvzUTuwQy3BsVfNdAUmgf7V2fvoyaPYaJfkJHR5uFUbUZQ+goY/LeEDD/At7oiqRD5am7
xXSHbvXwCnOnE+2bI1u7t7n1H9E45mcg2iGlSpLziKAmiW0A2F9C0R9ZnHz8diX/ezYh3n81m4BM
N9//OpbcPumPsQSyPtA1BMoIRAMvwrT5x1iCEOFNaMcMHGP49aDr/3MswXutQuzH+IH347zJ+jch
4cdckuJ9QyAyYJwI/d/rFf6GWvDbWPTrGg+1H+HCBN8dKBnEnX6dS8Zh1ogIUP+i54BADBz30xLI
wuU+GqUiuel9DweAWT7FHnAxXQdflZ/cGWhRRXijgPkM4sooejRoM8oQ/j05nKgsWTEWzHo8zyrS
RZAqoBu9fV/S7jNldQk0/aEJ+LZbzMHzvQc5wBPgcrEZLnoNFs276wQg+9qJn3WT9nmbCgM+t3pe
e1whCB9gGljnPJrFJaz9iztFZYqwd4zusCZcMf2MGOxt4yX5SOctgorYdYcPIHkPdqrDQ1dXW3Qb
vSdsyVK9onVMAArxhJf5AP2zKBAdXO0qJzNaa+KBvkyufWvmMchpQ3foKeuyQcfocaE+tmocqzkb
/HMj5KFtAh/nrfqQI0W02+mhsLbJhQkFJ6OWFx6Ow2EWBlAtg0sQi74BN6zqPCV1ddZRTwpI1GuE
rrf1I/HG5jwG8deV4Zc7VIJePSC7GdXqO4U9eeJ9uw9TB6KhNyxb2unkotksyjie8KhZCs+7NnXe
CPT7QQanGSTcaMtG9OtECsRzMMf1ldRoA1sHXmeyZi1MF9ATCOj0GRN+XZKl5Tvfn9vSYQzxcHqL
3oH08aMZoDdkUfDilYtzHeZ6G2i2CchQbYLJx2whDGQIFASWnc/vgO4dV8MvTefuzVKvBRPJR7Xy
KOOxCEpHM79Y7MJLt4qXbWPRpUg4OgNl4C5gBWW6NTxC6Q5qMbaph3tZ1ApZOgQVHlANk2ztrbED
Qg3fEVJVxTi2PhZa37m26CTJxIqfVM5RlLGIRJukRkEaXyYU1fX1UDqIPwDTadghhMS+rT36tHj6
3lrSldRJlqw3w3vfasD8NELkBt1phyGFdFu7t8joevsVMa97m3TInztkPTKNa3m3WORjvbnuM5QU
uJcwgQtFh7UC84zOQV+BjkgmTGZ0CmCaxZZ9g2IUgz+Mq3KshbMjBvNf2N56AKDKg/rORNqpDOkg
kcHEgHbFp6RQGPPzaOTRdXXnK5/tQzSJptQex2zfeu0ZaTGzQ6Dgw3Tru3FHdIwMuALbtMWtCDg8
9+eoaJWM9tGCISJy4nGbVF3w4Dn2BVUGximIsXO1pd7suhmzw9cJ31W8OojgU9Qd6oTKrcOWJ9eZ
4LjTOsrJmB464QFrmhYXHIcFoaoBNyBfiHBUXbKucw5OQHbM95/HWwwfbOyTQC4/5t39FOvcceKT
Dt8qpPdtH42vsNG+T8j1z7eAf3eL+ie30L/9Lf5/KwJgt0qAuiF3Hv41OtDjOAYfEkGa3F3bE5mI
m41p/LLeCgYYX5Mbi/UNLTDIiAix79FGgOT4nQ0Zgnu3ooLuVlnQMBeAx0jDYl76OcOYHSPbLPbd
rewg1n64WW4FCK4UF+vUjy2aEQgaEtDlgFOQDGMRoz2BoUVhbjBo61uxwqj7euNaF3yuj/AoyheA
3cF/vBUytGhm0Mn0yaJUtYid4B4ET4LyBFQ4JGGIj7zVOthbwcOApgfLyQ7MfZePkB75rQyCpaiF
4LeCCGdOCzOr7/pWHRGOrEDsLfoMJFaEZY+Gic4zX3s0TnQ2fAVqH+6ZQKGoWt+x+SAG1887/NDt
ht6KK9CBV7RRfKZotKC3agsPHRdN6vQAJtydI6PdMmFnuNVhOGy6opf1rvU0nD80Zpgk3cVo0HDR
pOEEclsj/obHFP2oLv4//EITxnLN7IdmMXoZJlOO/bI3IqCljdvcCZorIksO7gKbt/5ypKa9itQp
XEafWmSwadTtYotSVSsYiAyTIy+Cco1KY/qDGl0hksnaPCFoo9Cpl8MV/15ZYDa4x5xlC/pQJ/BR
gQvVUfdAmFLlv2ej370USCz/Wrd5UgyizfLX6SjEp/0xHXn/wMwBKBR1Ah6KmTAC/TEd+f8A64vS
u1ubDHTBH6OR+w9AECmmFjTp+eAEIRr/v9EIf04gsiD2mBCCWuG/MRrBzfmzwwHFFGU3BJU26LWB
p/PraIRlaI6k1OK+c4cgOME8RdMoDHAiICUst2aneR5RWNLGw1c5ire1X+kW8Nlj4MDB8+P3BQtM
Odh6pzAoyYEhNJAgf2iD+EwMeuwcbmH3Dlhcqz4dC5BVdOMNoO2wPZ4d+Jf5OFJcU1V/0Yv55kTN
kIXp9A0dTMgj9Tq3KU6yPmHHOVhb9ATzkzPIe0X6sOjROnVGjHJEdQz+Ll7UN8wicMOteh+Z2ayi
WbZ4U8J3Z3Y3FLXCGUDjXRybc7c2EnchrbJQTp+nxHluzdLmvHEf/dC81pC44D06ydYF+nyp4Vmj
MhXdvzZsFMKO9Zc4XvutDkGJosTmiqHh0gco4aGr94jdHfE0y66zRw6ChN8DI7boy/miA3YMPFhW
ynHyOfGOyIHio9OdIOrV+mzfzzYqUG782uvoNeXv/tQXJPC/6jT9qjx9USv7FPbz1yZIRAGGfC1Q
gHTv4JvF+jrtBGVOxpEcRvwM/TZLwx4xb5zt4JxXX1Y5J8hBLB5GhlAmAkgHBN7QBaU8keDeCaf2
iMRWnYUOYuj17B45jeotd2y0kTXWTmlJmegZoXPn4E2gfNEmekh6xBBIKi7DEqT50shkr4bO2y5m
2iYj7wt1A/GGpU22TUxVwYkYy2j8v+ydx3LkSNpsnwhjEIEAsE0gtaJWGxhZRUJrjaf/D9jWPdU9
4t7ez7KMxkqSEPEJ9+P+uDY7BAhayletSaebHp5829oAdr2RandVixwrm+JU2xpiK25KCH1JgiqO
QdTYDgF4vxkhhlrvM4VFXK0r/pYHzXcHxlm4EC8hl2JRn3zESn0ne/MGifc+iBFXSj3eirh4zFqx
cxZgTTLLxzauVmoWPDVF+8kuUEG5qxcrs5MMXConRCQwv+QxQ4+A3bdvlc9K1zVe2gyPitOW8F2p
5OZUqdZGn9xPis4MS6eSwWP+lTVK5kZFeUa3dk0Ew4J2GlmqFBzrDHvWoz0WV2sAAKnEtc3wJWL2
BauWqUbHgKwe31u/jD21gYJq1MzujCR+7qCrptGj0Wopd2BkrXnWPCH6zsXG3m5zgMMrc2CcMGo6
dnKGSItZWOQAVPGnGh48pdupj8P1lFezZ+nZJcp1FvrKKF2KFRYGwbx4196TsVKXe+1eGAdl+krU
KlspQX0Hl3htTGPsAS1gvVY8qdL6UqlMqX7EVz2rr07jwMpNLyVkZx0e/spslHAtpxC5Q1bdhV3z
noo5W0XT3i7mg+gchibayGYCWgmePuHW9vSlN/Ubp+JxKNrbtFTObR+jVslbb0bYYDj96Gpqz9mf
D5h4ocauOieELd22XzA1KTXGQYcYbL1HQCJpDtEIFRR0egE8ZhxseWipxlcNgBY3jcULb91qJSe0
Nn0qf7SaLdjp6pHHC/nYKDVdVtN1m3DuDy3jXlevgzsZju/Ic1GGCxYlcO1SjOOt5jai2kkMNxWe
AbcNx/vWrFCjxvk6HcPBq5Jl8pSbNQ9dwSNhS2jBWBqK0b8UC2ZbdP7oWlRbvi+uRencO77YGeNk
uzJHKtFN6Z1flhfoDtUmaO30BbcS9MyhPylQWN0uXR5sM362pNECGh+wyTsApCn7P8a8QB4uok0/
5Ade6HeTKPpdpWbIS/XuthS9voogifbAWrdwKJdqzkASJYsH30Zn5EvhJlV6asL+NmJztNJZ3vmR
0YAwqLV1HqR8b9/fm+C5d3PefSDRWbremkYhR3Ek40pxg1n5gqPIeRHW0dZ2lFtc4R/S4NmuUstm
qLrQz0cQVbk/5xeVdgRiVvWi2ZnvgkmhiZtGSS9LExfaquYVvLNxk6mbOFLbTdoWHyCMn4FDC3fw
8w2sZbarXPIVx13tDobBjHhUgw1jCP6mwAb2DFR3TiCAKIQi4aFhU9eBGgqn5HbgTHTbhTYemQjC
TMsMmOrRpnYsR70OisOKGXR0KpV58Oj6z5NiFABjwagH6jCslEQ+mu20xfr+0ywWaU/5OWr8d42I
X6SEAj7UCrdel58QI1RsUOYz5z/YD7hfaDT2bVrW0F71bp3YavFSpXG6b0BNGzoPfpobz8okrm3U
/hyqdOP48SOHvXqMZJODkXdQLgVXBPMPTO52htIgBQj7Bf2Bs24Sw843DeBceIuLHj0/jpXe0y3r
RzQWipfVBZSGopw3U2HfaX5WrU2Trjufx3xdlvhX4bn6e7We3qXCzdCGvb7BvwLa2UpWtq8coiB4
r8G5B/gSVmNcbosKCTIoxZsi6bVVwVhgrWjmj5L59qZrIyzedIhxJW/UTj4VQm79Mh13c2B8xepg
8Y6lsdN1EA32mEN2sdJF/w7RVi0mbr9YA9ceTQ7KRO1VMp9xBJYZdAkZ7Hbe2sgwAi9Gw+lKJX5X
IdMmEVPYNvJjt+rLY9TDyhZtvYU1i4/dAAzRqckuDtoRDpDBedciia50P3eRnqVrBmM/w0AZVwC6
600P4xHWdd97hTq5eOeXt6p8xrWgrYLAN92sUh7CenisHbwPeeS4KDto8DQmQZ0NFbspKk8X4X0r
ERj6abvvgq5xM9V5FHl3E6QsdYymHdZZSbNQSZ4nAx/VGAAH1pN8r1A58UDGKoL75qMMsiUDgcce
PaPaxLtKIpvE8/A5lL2rlPJLqviiDLgtVmb19DvJl4XxG3CV/qOf6iNYqWE1WeaPpre2lY0mIg+0
g58bOVNgZkWjTJ6DLGvcaqx11+6ki/QPa9WHagcnCgNBD08LpXXxoTRrzS1Bx130iNluVfM1O3kN
FJOWf4gftNpm5NQpd1aGm0Nn/iuc4Xmk5lrJcC4hwxf5umppLicTJw6ke34dUeH/Hmqxxo5ztKvi
xranxfsEapnn7kvqFm4eDGbrIDE2at+9lD2Pblhrt3DCa5d74WzIqF2WADSESXkvI66RaWkG5eXI
e7rOz6Oo800txUGz2x84VHCHRe1zNUK0yzr1cU6jwzilD7pQMm9oeKVa6kffs2Wy0c2vnNYaPGLB
TmVTb3J1hP43sXF3SsS/rYw/HWrjsAfKXo7555zVeP0RCQf1vNd1VD4g+ZEEP5Y9/P6GKg8SBnVm
xZ0ZOoO1hajKD9lZW3Wsv2RISWcVIwkI1HzMwdwIg1tHX+0zLQqT/N23k4+47a5CVAfWZJoXYKkB
osJJaVS7qbLuxlBbj+ZCu66K+7FxdqVw9g5In0qNb1q2cVOkYRQ2Qrw/SxJIf6rBU3QRjGsTKeuh
ibXJrQJLT27TfJYvUxFJ+1IpbIZvU7NlWDDZ0u3MUvkNtvS/+bxBx/ife9BFO/BL0u6/9qLLt//e
iyLeQzuAdcLRVZu+knbvj16UppOYX9IC0eEzIEB28LuAYOEW8z20iXBHoAf+0o6Kf0C0W9KBgSDb
3/P9v9GOLs3mn3R9SAZtE5MreeLI+/SlWf0FllVzZDU0xsE1SANEuMdIhP8PmZP4pvf98zMWZQyu
Vv4jSUkAc23pxn/9jEwrVKdMpxGwH2OhsMP7petxvbGy8TwyIgSuzTm4xeYO51cpWcRrNLT3OrEU
hWeTZHK2agsKGtP16tzVCnCp7JsdLKWiwp9CBBF4aqkhHWhAJhfloJa7JIRAVDMI3I4LiZgDVV8P
iAW3dSiqNcq8eGtI1nx5L2+gqUFNhhzkdQvdOFKCVF8HdREr2/wbgJzXc/gFx6nfGFrEbBlNuqqs
nXQSeuw6Kf9a08sjYgDOpRr3JI+wUS2rsbptmZqDKpo3M6cts7PwxSjhDo1hzZ6d6oOX/97oqy1S
idPQSdrlVrl0Yf9kJsZD5TT3dTKfgrx/kiZuUltWvGgjceJFDqaqOoVhvNeCINlrdQdYdpTHYelO
VEyLfVBs1YjaXmW8MBfTgXXraxnHk5umGOSWoV4dyXjn5CFNkfoRyoQhWEmcjfDFTGmlfYZpkXqT
A1wZwcCqdehlA0bEm3YcccEa/nyspvLY+8p2zBIIAlGwzVKz9qBzUGviWxyiczaYxto3BP6JsNzO
c733cX2FcPm3MZ4nL1CSfT2Dtg8I0cmbsV7XYXZf1O0xNNguUO/JHzBkGneiX3UxKW1GECKrUYvW
QgDLV+zcQ7O4H8sK/2/OxDTGmZvA+aGSplEOYvPeFJxPxii6HWp1k+LW0b3MRwiuTu25kvhA0LDs
+2SceLern0J2P/Ei21tEDNnRcDKkJmFiRrdlzhBAG0Vkuhq6CVS8ysFJYo1pn/qDQms/S+XSatZj
GyrblJod71ZNyIdNRQPALbNv+zzfOLHuxbW/bjTFzeSQ7NiUb22Ukl5l8Ic3cwsaVv+szYxVSpNd
juO8zbI/F2prMIseD2aq3sz8p73Gjhx74yw0thQKZDTtU1HGfSHmkwHSgZk0U+PCng9WNtsbM4ad
b5mPlGgcfuNH3yUsIu0W8UZyAq11g8xVY46ZyBW98Gsa6K9Lpq1XD9rJEXngDuJahbuJCapLhAEj
DRgsVqg82GPzKJJ+PQbJ6JlhcCN6ZDVqhG0DfvKxLZK9aYFRm3vtqVTCByyvj+jPMeUMGysov4Dq
HCpHOYyjOq+aWB6q2NmmkgrTthrPKDQUHp1o78QQH/j9jmasvhkEG3EipshPCiQuulHGl0yMyW5U
Mv21GGzrpbELrOfjNPnMHfzkbvQxe4yMh9eEWNUMlNvQqxT4DXHKLits2RJWOhSLgccCn6oZXTox
o1tKsc8wE2OAxhOGUQ6jptP2a7vy7Y9ZEhATmvJJaVhJ9I28QLfzKSFLgJ7CabiZ6Xn6qUuPEzpi
akLzrlVZZJJFU3lBX+JK0uIjk+n7rExYpg0YeHpgmBuQXjQp9zFXnlqDGYI1UubYRirPPrjj9Tij
tUxk8SGCGFg0CUY8cmiPhPkAWxrNZTwl22AKTqCgZ+ij/m2ytGejw9yPDUesV7ho1XtfcpWN8q3p
kjU70F0ft19WPVyByceUlLhmjCF91WM6cGm9LQixzmanINhL0GrFVIj4fdi0TafGN72JMIk4he5c
6T8xxI/bsjK9OO9fe8Pf4rwokdt0b02LurHmMifDRvetZy1vnoCOPZtagYN3jO/HdDrlzrBrK9RQ
yhA/B+EEfIlHdBzPvZ9tg8wHp5HKu7adr2YjX8fQvBQQ02zRPw/QE7QB14s19xuwdrws1NrlahB8
lLxRh8NSiiXzKNOEeU8t29rRPmhGqisjh/xpyntt5qo1KeqtILceqj46tIZkkxSpr5wEx8pnu6pE
+U0Uze2uiINnkzJuhRhkZ2IR5XXjKR2jkpzfPgutk91Zuxokk0ZwkUM15oPCLO3kapj2DkkJJhqf
zCw9eVdsxTOHaAeHdMAf4r+rbXLgb+1FNH4rWLSMbKbbhjLWjUVzgHK3q0355iPg6ClRRdvf4znx
kAvOmwYvzyqLwhtVjF++OrBeRMWhihgFxxydHTMFSlA9ZHk7e0le7PoA8bntZNNJoxDH9nbCnvsm
/eKo1jRgOgJtDMDsugohhhuUj+hW68CgN65fcjWEzqjaV5XQAZyrVXVssB0vM5hsQ5LfDwTl4G+I
DHoZSsn9AkpuPbHQZeUYpT9HnLMMvOBAIXbTz0D5/N+EJP+fiNmlBHEw/8PnYSBJHsQS6/lrCaIl
pgaNwVcucfwok6fE+RDm9pcS8N8IgBdN8Z+rnD9/xF/G+hN3sUw6PkKtmJJa1668jvHNf/+MRTXx
r58hUX0unk3AJX/+NXS9mwB9MFdgyMfL8TqztRwfFMX77x+zmDn++jFo43VBZg+g12+Pxi9FYcDK
0rCSPrh2aLoqgBkNNEmleuzEzcDwQDb1ajL/10osECuU/Vyk/9xKgBJ/7z/r9+Zfm4jlG39vIpbQ
yyW4FFiVgQhXUKb/0USo/3AcsmzR4LDx+s40+L2JsP9hokyGT+NA/UCNg37o952W9Q97UeawzIIt
saCx/s5OC17On+4YZMg2SZxooCXWIB31/V/aiDyw0UX0dnFVyQLblchgmM7Y7EKHY2f1E4gmvTmN
Hdl/rFDwmI3dTR4LFB959lHj/fAadIB46My1Y9STGwzSIEsyrFy0JuSuKUyUw9ZWEM/L2VOGMbtB
Mvocmrzq+9owXCqHI8zIU22KnV04KEiUcEtx+uzbQcHsBRlqPYGGYvjFy7U9BBnLh0SYh9mOyHkU
1pkH4TEwS6ZakX1Ll594eR3hLK7fdcatoPmCpz5jajKAcAZausxt+vksc+t59KlOWVq9OGnxLMf+
6CTaabBAP5jZubWHkiCA8DGvMQAoGjhaf1iy4+7yPN5ogfKqR6NLUMEGE7NFDlZ5Im3xRbflxQiz
eBWa47ZHrLjipnhv6TRW+ZiGK8Vq15GcwxXcsJQVBVPZCcDB2rZziEF9P0Ekzq71wNIjD4xdERK5
OQ7dZViMScE8aFszaTexrDDb9jHEHuwfij7fGL78Qd/1kHTTZrDRDRhBfoNWezOF2T4CbbmiiLqR
nfUYVj66YDG9yAhGWTSYpcduNXHTPCo2RjQ1Xq5bKLjm25qh5EYL08OopZ/hjFLRbvVHyTwIlCOb
Elk417i39EvqW7vRDu6riwj3EoczGOSjnOLYxVC0iayehKkKbGE7x+vWaHswhvZLKBHvdFWur9Ii
2pInxnIpK37AACm8uGXRoFfaJrVBkTDxnNoJhS1dASaVD9Sin5apfyIwC3ZBJS4L0HHsyYyYsI2s
4ykVT4aJ3BogOCoKP3KLnAmOKfepqUFJDTe1HWCPBaCLrBv1tB7IaWt/50/lZteuh165jcrhJwPg
oXZNFQibitd4rgRT+7Y6CKXSMdyUO0cuHlcdl1luWzY7JXunLxbmgkUUdeBDpBZe32RrdQG+cety
HznPhdEbbriYoVEyVevICcbfJOL4PC2UKdinGWAT82qmd04Pol73iUDEa5078uT3jcY0Dxt2GsQ8
F4xz13Zc4vNd7NqSJ31D8CjzPBiRx0kn6hJ3t7HYvFv83nbNUmfBke+Z9IP/aQcWhzOuXYF8nCzW
a1HwpMSLiRxK3I2PqzzMVNUrF6O5xHGe5vKtxYHeFLeREOWqxpxOV0AXJ4vL6KcAMzCwO3rxUzQp
mlis7ZnIyrVFXIinjErilYsDfjArStGKHimclS0G5Xh+0wMs8/Upjvf0+OuowPJU+dwGfea/T4vX
Xp+qs7+473Ns+GMpdrkWKkivwiclSD6TjkdGzwvubUz8jYMAd3H1EwljALpMHwB/fzmL9Z9eG6nV
QgMo8mAt4J3j1ZuJqg2q/KToo3nW4AiQzUnER0/ZzI4wXlvO7HvjAh7ofL9wg5p5ZDj0575ObEzy
zCBTJ7oPa+5mUwTavk5ZFwqfKw5eF0j9NN8Wfkl0yOLOarJ+Zs2r3BlV3SFY48EKZ/xjygJOgEuH
wBcRu1dULF1DrteCWUigUWPUq24zYRxTSAyqrz74i9FX0/uDv1h/jXkeI1Z2dR1f0f3XL4ljNsOa
rYaM3aaLj+iXAdm1vZHpeNj9HKxh1LzaThCK0/dR+L/xokpx+F9qAibTzfu/KQj4rj8KAm0ZEKqa
IVgKocvjQP6jINAJNjPx8pA6Ir7Bln9MFRlFaoIv/VPJ8kdBQBwk1R4cTUwgCw7kb6Vg60tp8UsJ
SUGAYoZVrfbtTGbAuHz9lxISgyGbJ8kaNZlLi6hmWWTGRx8arX8Fu2tkGXpeRd/Z/iLF6sL7SQSC
dlaUHBsdIgVfsp5Lq2QNNEl4jZmpO5U4Hc8eWZR3ffFOhlrASDt6n6tm9DKDmIy6AS5HdA4PfHwT
V7BmAwhgZdYgKLDh3drTjCzQQTicdJqPbyXpV4OCOCKs29QLZXvs8tJhrBM995q8jYx8K1P2liCA
8n7eRhVrmV7NVJgJxe2MeqKQxZ4XIEbotADl3dLgO+g5GNLM705c30pJynCHWBGHv36jq216ZqRQ
bIBc557upwUOq+rL8IN3gD6tmyloCqZPDm06abNa9wpLszRjGaKL5zIPYEFQTexEQ6oAlVUJsokm
zCgotGYkMa7Wj0cofvFar+fPzvY3HcIMzRm2mgVds0Q8YzCQAIOPgLNHLMl2o+6Nzxb1WjIANHBU
OkPjlKNum03g+F3AmCQkNbZHAWcvUrg0LXcZ2rixiB9StHJtm9+WtXoMWYtB1V1Ag9ltzyXtFpmd
OkZ1vm0JNd7YsjxoZvaRNyFcEMs/IeM8QUpn5/6ds0WxWt8iRCj9N9Z7jGqb71Qu8ExTibkMWV2g
ElwE0JOmVvbJD8BW6EHrAXxx98Npwg32PSZUNl/Gc/PJkdi4MS0wE6hx107hReQw0agcsbu04dcA
Qwp26PSKre+hncdbrdfejLo8qMX8StK240rm4msrED8jfTwMajC9pWGVrIC7MiBFK2D3pCeYKpAJ
s74FI72zgGKdyHV4mCJ+LSisTDwD++qPSASIiQTaYHpdiEvKTKSzbuWk7mbrS4sLARS9fepbiNhZ
KZBOQGhPAryzphIRuEB0RamZXk12jKsU4Y+AwGI37SbAX8xfEBsHW11pXrGZ7woeGze385G5I7st
q5lheRA9qkF/HgfhQzRRbiZfealb9SBLQ6PNjx9NPwzWNpABWC6QNAjM0G0CU63EgpFSHHLe/qsQ
+n5X4XVjSvzVhO21zMR736DpTaF4JFN8sXX1WBrYWyjnjjlRASt0dj1jCmStYRQikuqHbTWCgW5D
Di/dSd/zxH6dyYpnZrxXm+DVSIzyflZYyymhzaZcNx+JwLofAfMwV3ipQhHty9DZz2N19AO7PPpF
8yKRDxMuc69IuQ8N+6o4zW2oys9SzJcsq3dJwb05y4kUYy3vPJI27voe+S1w8qCLtnUcOutkdACE
9aN8a/pmT2JYd+fbIDajPN0gcT/Ktkn+p978rd0VnET/+Wi7b9/zqEnfu3/T7y7f+cfxphL8Jy0p
zO9Azz8RWwFBL72ssM3fRJz/XJotWFYqdjpeC0vMdyv8z36Xo5JMGKZAEpQFfpS/sTRDD/rX442l
nMqPwEnKJo4crz8fb8zpjKQe0+LaASCdz7FemvGFNnsJyITHeoPuo+eFnpoXE+VkF9o/RBAO61rP
HnotZS6nZadKr1/TqTikTX4XQXRoFeRvRuyfEWSfwcAlbm7hGTCo3esmOYXq8DzH+ed3/l3R6yR7
MP69NYN5o2WCThE5ZsfAFiFDR2Haxue2WwLrbOHVRp9rH7pCGUk2S7oZArCkexC3dXRg3N8GW+jS
9Nm8lDl2s9LAPMFwGOqi7Mu9FVkZGZskqaf2LB4Mv0WX7qMe6Dznu+irl/ovXirB7rso7H8rECkV
re+iMf0uIHHhK57T2HW8gwzZM1iqA7Va008xoU2H8aOTpKYMaf5slTAE23BRM2ItLiP5DjUKTNdQ
4UKw02FjdMU58tXK1RklA/mK1tVMdx06xrrwceKq/pPCLr+1lLveyty8H/Ziyj3C60/jYF6dXkJN
KOXSft5NTfSO7vWYdjA2i7Y7s7oHB6SUO3tBitaOdtd3yl5qSMf86mIv+wrMOZky7FAkAE/Ndqwl
T6CzL5k+Xrqi/kBrcOeE6U6P5WOCADc0LagSwVVitEVoVd6n5Yz0J/LSUt0OZnNXt7bHsmsfS/Gc
Lbs5B8aU3RxS0iZcOzP0dex85Xg9RcpYYOjWQ2FvRTm7WtGc/ai5cZL2ldB7rB62VyrocazwMhfZ
lWiolWPOxGmJXTPqz/NQnHs9XuFDunAt3TIeNmSmXZACXxoD+hS2A7xpB7C821Kqb7oJnj9qz6XR
fgSFTdvNpQ8s50HQvKPr39pyPGk90orOUS+dTgBNFV9qiX0ZqU87K49maOzTeLnCHaGuSbZvtIWq
aa8cv/p0BKmJefoMk/exUEPslsrGL80TS/MN2fQXNe5TpIFMUwTrKn4Il9gAhtUa/et8sC0GCGF7
Ciw4jhE4yDHcQ01nvDDVn7Wl3/XOeFdPCS7toDdvLZPNrhzCC1XpeTJ1xiOpGu9R6IMHj/TCwBvd
8/cyx+qqSvM0aNxSHaEfKUQGRD9D6ZWN83MKxos6Zp7IDHCowe1YEYA7lhDQWat6RlW9tfHE7WdI
EpX8LWjiaaMY/ttcp+fBGZG1Zt0D5RZATwM6lGibtV4QxqJBgV4ZmbBcJaxHt+yVfK2H2tkX4k7U
LLIUwfQlHrnilCc3calsG4FtH8HvjlhcUHaNFW8gnZ7buNsmPine1ELqABqdu4OrtRCynK65qQgu
cXPRHHWD6Vk4NdTMGEb95GRUCuJrVE6I4UqdidFQZT9Ya3MxZsXTBzAwsU9hEbW4tFN7XxAcQfYv
C4U8AYoFZwS0Vty5BdJ3Vw9NrHdRecoiFnkJLM5ML15aCxvbpGfooLL50mnGeUyin9IAa6zYQFZK
1rNjFDIIifs7metPbP8PCjhJW+nSDake6H6j4Ww66GF6wRuA3WzpOsTTeXrlk4QaldUm7qZTUeFY
l0Z0JV/nsZdopMJwfAikyf1OAlaOTatnA4PWS2OIkrHmquNHqLC560ShAz5WGU5zYaRHlnuJ+7+2
9nvUvfgp/vPZf8YN9ll//hvrxvJ9v5z8DKtxri6Da934i1zGYV5tMQDHpfTtOf190g1vA18r+ZG0
wguf9PdjHxkNGhr4HGwzloLA/DvHvmUygf9zV0uuwzIvtw1DLL33X2gbWZkK5I7MZjOD3SI525Bw
VOvVsoN1YXXPessLf771J0AFlbbWK/u2a4NHaAYJQSqW4aJXBuEyneUpDpQfxpA8ZqTWeBo335aQ
nw/ZEjM3DeTKZNgNA/T4ZVdsTK323RAfnqur2puS9+WH1qJ0MBiUrWMR+Zs5jHdDRFiwH9SHnBS+
VWyEz5lZ0Mw5r7PSrtLSRoAbVe9TnBA0YbxDHnhhMLVwEMdF4b2E8yW8oqtlwINgHkN3/zyp9hsd
T3TMS82H5mBCEijjx6RL39TJmgEvBHu/UYqNtOkZK/2NKeUFJ6E7SeueszuZ1XXFgn5lxsNjF0av
dqRAXyyem1oJDpZeUhAIN8v7ixarG1ZUl3GKLkTguUCaeKNE4c+ibK8BYRBw/oaLA10R2qO+F8Um
rlpwg4Wr6/dBda6tTdkmr8A0qhU/4rZp8LpiSfRSAQq8NWugi7FuP/oCKgBmzF0vicmCZrGFkXSS
WTEA12ao70fL6RrflY08SZrBjSAgYon23VVF+rNWkJG3egN3ola3NQN41+y7mwkrGvh+Dm5kfdhl
6amjSBzSnM9LUySEAc21RWEwT4C7VHkK0X4WTQyv23dWbIdPQxtd09K50AB6MjZx30zxaQhCsuks
D2Fyhppg8VKqJtyIcKK1nAtsFcs2DmcwyEWradwoglAfWbT1UwQku83mG4SQ78j+9gFqh03X4HJQ
UTToIDkGCzaLhZFTVsaPSYfaIqr4Ll84LiFXTimNRxPAS7WQXnCi26cKAHVqF2cUw2+ghp/CBqlr
ZQ+etvBi5oUcg+Q8RqcDTSYBK8P0kbE1oJkuqln8L+yZCAiN30CjSejKs4VPwwYZ78wkIa0UewOj
H9GW9hfX41hAFRBIOxIoA6aWqgTMZauyZxQ/QSIgIuAt1RCXQCgoFlTBDLPAb9qTioZVX2AGKUtx
G7pB3AR7Jwy2csEeSLt5QLN/j+QVbqPcq3lx6OAkFHSPiRpcFfgJORwFCFv8UefhJCAsLOVmtyAX
ymS8TbN+O/rRSSy+IdgMpVMgvhIbE2ZDFQCyxae8qifjWEJ1GKA7ENhIOPdMVFzQvgwLAKIR84bw
zGu5oCGm2TrUsCLMqDwCwtiJBB3KtOAkYrgSAr5EUFrXHN5Es4An7EC/b4rmOcD17I/xmf0YkPrp
LldT5lI89EmKOnuIntHabc0AF7WMbHgkjLIW7EVktcgSAGEQx3orIGMAFbzNFlQGtbgbws7oHfVF
XWAaxKHBh4evQbo4UoAetM6C3sjn7KWDxWFBxithc+jjzDQbWgfKlDfGUNtBGdYtNI8UqkdeI7la
KB9NQF4L7ou58V+ibxIIJl+oIHoEICS1F1aIvWBDpgUgQqUzr2uZHqH/nwQCuXGBjbDzOBLXeRVQ
SPwFRxIXwXlYACUE3i3eM3ul1OlFgWFSFc4FcikyvWHcZAvmJDK1p0jrTiP8EwPSibbwUJZLaNjm
RwkppYDti6/hyEbueYSkYoCdU5EzhWQrrmtYK/oCXYkW/IrAklQtQJZaMzf5gmjB2vVWwmyZHEq0
FopLAs2Fem6Alq49WVI9VPjK0ep5+HFusT1ori4erKBbIyD5QDBzPy/AmHxBx2DXvyuZ+SkLVMYn
DENAmdFKubWgzogFPxO3UqzJgdN3CTJmXQ8+E+b8NBSL4wghDnRJyCsa6wsVto21QG64KUpXX8A3
MlB3DSScBiJOBRlngpDjQ8rBpYROBnZOPkRbfueHYEqf2yrs96O4wcGOiwzvTUzj1GYjUp7iOoDl
iRY+jy37nQKwp50xojWYxVMNb5nDn0a7KgvhJwT1A7X4nqxbYgnw63s20eirXhtuS0Oem29UEIQk
sEHdQhAyUUnz8gcrpOdoF7OFNBRWhA1UswVzsufpnE9VZCGzqPmVgOQS/jdtrSB3bkhTsFdZ2+dr
APfVSu/R9wQ9vou+yz56HGMwTuMNJwyjLJsBWKmnkGsplr+DSZXIG8kMxZLh9Ic4HbNVhQErB+mM
+yJlzpXjUYlrJBARzHgzTZ97dKUsCGXtEQids+ZsaCOzWDKhzQJ6iLa85pXWvsSahTmIfbWyISTB
vG2GfD7QT5dQHVJhY+jIhLYuhzn1Zk05DUZ9AKZ3o9tkXIwsjvT5Kav8u6Cqj12FGsNiBKmnNrlH
WvXiYzpyrYD5ggZKAB3jtqOeB+nUfvTU4xpzNlBZ536YOGQiL+v6TQuLC/fQQ6mSrWRb4Ttv1ifV
qHf+EF5VkwiL2DhmM38mh/aaG6lwG8V4KWfzaEUZTWdquJKIjzhNNuRvHvqOI7qe6D9l7V9j1fQI
urtjbhatEB/uy0CezDHaafWMqbDcZ86wMgs18QjBDDAnGazcs3sohh5SuMlji/uQp0NOeZ8cKfj3
qqqccS65lEIwoKo91NqtkoT7wKqOQdk+I5s4prl2qA1OWsMmz6L84cfzOk7o0Hwqhcks17Mfrmum
sWbVfpJycyLPwW246caxO+KE+yENghmINweIHd3V+v+xdybLbSPbFv2VG2+OikSiH7wJCXai2Khv
JghZstD3Pb7+Laiu68ouX1fUG9fAA4ctUgTAzJPn7L02YmQZLh09GjmXmdtgEDd1jGS3AZtJSAV4
RMhYU9Wj5Qck5mGNb5163UTqNm3lY2fr2NsIHjcUcmnh/VNawFAkDozVPX4kP2KJmBCKEVAwh6kj
3fZkpxTRveNgq7Sns+jAaXJyux1BH2hR8ZCj/3AZusEW68I3r8rBNdMgWNFPPfaGOHq+9jwIAl/C
qGBoaG0iJ9w5oXDWeGAAn05fi9E4NgXSK9Z3UmIlD4uf9wZtc4sW71ioK2807VOu0vXV21We2Cay
C3GV6Mpl0gzTUvG1dY0pb+EZAfDuWqTbYDSfjD4abxxWGjeGZDwMNizsPn8YjOmqUMwnxN7eugjL
R9FRvgizXcd1RzZKzae2PRK55qUHIw+mfyfY+gw9l0YRH+CSrGNfmU6KrPaF6mPRMRn1lFX63qkD
7pexzFydv43x6KpdeeOHAxnOU7rrLXocY9NCV5x3bUN/HFS+aBH+GLcaHBIOR4CpcXiMiazU0Zns
rGCqLwuvAuMxaA8SMfxFX3lXTp08iZAZ8fx1N4lWAAPHbh4zNnmyg+YmK/QrtR/CSwdvjq0WO78Q
t9KnoskNgSii3fiM7gX62tIXm9YCmukb6XtrMyfXaev4mn2LLPMibKJ93JnUmSTv1LJ5HNXy2hnI
DMsK6xip/jHlcJ9Y+rjPhui+TJwnfdCumf/le0PD39j6Zr6Wjf40pThHZmUxzuNsk3W8sIIAIqdX
5RYEhWyjJIHH/iFQx3YntBucn5JjRIVWfmX/rmiPNVNZyd+V7p9OfOffNWSfsyQ4in06QH3o8BAP
wBBmj3cg/P5wgJKhEGj/s/AUFcUiyw414W+OfvPrN/mJSo43gftLxrpGzPt8ivs0e4y9ocJvV4cn
Me6U7CBwwCn6bdPf/vptmL7++bNYtKh1gVhO2D8gjjwhHE4BgsJdvvf5naL9VZL5n1+fLrdKm5kG
s2r8eK1qZzTz3EyTU9bzoDEqZWT8x+n7J/fiJ7+/RV4EV4gLhYBrTm34dJl8C5OnZsAXsTl3GGfD
+X16/181l3MP/AcVIa32/1yfH+61TsZQoLCUnvR0gx07VteV5erokL4mkfvrj/KTt5pxUwLYpsHc
2/nhViQ2ohOyD+ITlJ4WrS9Qo1nVtWQbVoq/8LPMv/YPH+u72zI/4p8um1BDMsTNJDkV2tKpqeiW
fLVmOWu3/vsf6vP9/+FDZRazztb+/Y200IWyRPeQfWTeiou/eNZ+8r20HBUiqc3uqEk5zzs+fSjN
yGTOxpudasKeUSzCCvBef/1xfva4fXqLHx+3CXJD7hsiO2X2S+Q96cr/43FGyahbuqNKFYrZ9x8h
KnG66YrMThErIK3VZIyWv/4EP7lIjEGFCR/kQxn7g6YhUzLqe1MlEMJ66a0jYgFsqTe/fo+fPck8
xBZ5g5BB1Bk3+/lGOAxas9GeaE5T+I1Lu1yoxhXcnLxwJ+0vnuSfvJdNdqGUuLIwV/64TgZgPGF7
GNkpmM/UaKXoBq8AaeTUWNcfH+sfJY/gIflj0f0TZBhFYFO9/GsJV/Zneh5+9o+2p0oOJdB7uprI
66XNff+k5wGHb3zL4jH5bn5re9q/8ZXl22pIaQl2CO7wt86n9RsrogEe2DT+H3qeGTX4adWb9Ty0
XtlLWWUZoH4IkL97LlMLiyzl2wnHvSQ8tipzcQFVVwcUmaPQ5MRzN0Y+OslBubQz1HKRAaK1j6gg
MwVBTxPdDn6zj+3hphPD5egBnCgC01mQ+Qx5MpwunLC571NY8Km2M0IwAwl5X6Vdo0IbUCvQwh/S
chdOqANTKlcURkx2LGfYIAB+14DVLvuPlFUg/YTiUV1Vc7U+2fjbowi4wRy3hlLkaTTB6NSJPq6c
ZkxdURW3OL7ahd4qEiUsSZjFRDxj3yx0n2DJKvMeEkLrGmkSzVOz4of9FxPvVOSVqWuo1ivxG7CO
zfDRLIca6T9UgwHLFyfUhZLLR9PXN7bFtI5u4zpAgrHQ6nQrAaRw2LGZy5EMPOp8x0NMWWPufUmb
ARgLjUw0uk/U7+Ey1eNNHA87QG+cMYe+cqsOhzfDyDdf6CDE1OyxyBm4IMDQXK8FqOLJ6UiM50tY
GN4enZSFNkdCIvXNlZLZ6rWEM+jquUdPiOoGMvJA66aP96pRdoj5UFXD6qqadR4RFqdbuO08K2cC
g9M+MYZpZQdoCn2HZNBWZvWBTvHgxmhU6OOEhesBaljipnc4JMQBiL8cjawIvVUm6nCPnjUBP9E3
N9LopnuSmAL66Im3iOtEHMipsdZTH8dPeYW5ObQs85G+cnpdV2p5DjiU7Wy1Gi5Lh9Y5tpf8QhKA
CbNO16NLr8/wXyn5QMtqotKdUuF9GWg7225vKOUuk+Iqzh2cmkFf3ImRC7/xbJJEFYaU77qNDjZ1
pFz02MGwttjLEVQrZiqE4d2cPFxX4V6t5aFBUAIUGYujf1kTVSxq0lKVsj1Wc4qxN+cZW4K2Qztn
HFtz2rFO7LHekH9cpqBTPxKR6Wh5HjLSeE5LzubcZHNOUJ70GLTGnKpspeQr5x9RyzK84cxfwHYj
hTmf85hBGXb3xFPaO6jNwJ3m3GbckBMH9ep9mDOdUxg2g03K8z+L+cf8ChfELxZz92vyryOP/FdW
7Qysx7h7+9//+bfHgx/8YyUnURjZozBn9/acVf5pJdeBrLLdMqTCj6TOLo5/r+Q6zFaANgbEHuqX
ee71x0quYxInGNhiJTc1doG/F1T+fQ1DLLJNaTRX/LZwGK59wMk+FXqNBzclmTJ5zgDxiTi8tHxa
Wt24+nRlzn8+58kPgeenMtnAAIZLXTjM8jBeAW/4vpBR0OvBpYz7s8EAddf4wtZXxtRCQIBekkuY
UkpvQdtr8pMztpdlXNxZsmqXRQ3yo8drvYorNd53lUEQaE6cqjZCbIFbASWhrx77uiiWmF8RKM5A
1aBObgrecAmt+cyZAzkXAouFXcJZtpU53RgWKLBOe1+SkuiAkl1mKoIJxzC3UGmytWd2a6kbjdtO
rPU1kcswlR4U26Lt1DoLPuYjHcB8iRfjBi34tZIOoNRop4SClkYPoNAE+VI53bH3UtJDHPUOiRow
dZqPrpwFcG3XXBnKtO719sGxq6/St579dMRQiGQhRnVCnEt4NipvT18tXCN02pqOV23qoOIOVdVd
bvrb0NaB4ATBnonnFwZ98bpLRcGygfEyyYcC3+FMBUWTvlab6RnT27x6RyfdZmEeExzoxEeW2CBb
S72rav+QD2m7yNXx2irbDdXEFhOEsmhYb/lFNXqnTQacVho3ykjCTdqU9tJynp0GMwJ5Lm3JLlW3
OtgNsJI28mLuH61vq323EdbQ6zEOStci78sg35aIZFVSSySqlmFEldszil/HanIukyBaa1q/mVL9
QLcKXpeqb5yOaxv0hIsoJnSconSeKUG2zhhfk4E6utpU39NLx2teE2ysNclN3bc7gnY6FE/iVSSM
Mf1+vE/C0NgM2nSSA4FndRB1i2qq3tREvkkmD8t4ULcEQO8sCnKUsP0GRPBVSmj0YOXmpaVNGWHR
2esUFY+BVZNxCpQJDWrk6qWFe7ulyQ5zSGreHMXqVCseMc5qOpA+lZTol4xBRbWebIVRh2EOEJEE
oocOGUTl11u9p4slrH6t2v2M+8TfnSQGCWCjuhQeFgBde+uFs2OCse6mvILkFRfdfWxoM5SUIGkc
4zM4qh3UkLGb3Gm0q1T4vs3sd7HLF5TU12qsfIUBAUEHdWTO0wiGtqMeq5vl4EBK6WN1p6QGQF1Y
VnaFMJn+Ca8bQwCtuxDEqt8/mRH8scEvDn4oPI6gAy0JLAc6jbMohtJfb/u+eZw8XAyDEy27SJyj
Kj/EJl9ZLYvP6Dn3iaLspiSAvuIHwWoaRkjPNDPNHqZ41KMkGVr1GrzgZgAKF6OxXg6I2DKzeOyr
FbGMu0Cv9ohJtgyYXwZ84JMB3I94qJoTzHOi33R9DR63vSiIgkhoVEYMo+Ua70ng6MyLJ23Va/q2
k+TqqAFa4anoNpoVNWuhAmj2O/0501UgVXnvekpFyHVfbFo1O415/4TUBVDvqN83jbAPhRLp5e1c
Hvk2hvJtLlO6AH+xjH6fnMmXZj6dQbJkHZoTi2Yd5Oeyu66BgNGTHc89yT0LfeNdDDf5YRcxDnvJ
HohJ3gFDXXh7dMCtC9Fi9+v3n1sM3y/ivD09HM2Alm0guvj+7SuPcHTFbKdzZ6HB2zkCCdHwrGDT
/vvvg3YBbDnHax3E5vfv4zTsWeHQTWc1vAyooZPkq+Pv+rb+i/f5fvf7/XJyPdkDaUBaRDV+/z4l
ZiujVQNxNo19ZdLBwX6jP/z6s+g/u2efP8wPb9IGQtQyni/aur5HdrDqtuLNducwzQNCI39xXa0Q
EK7l9u5ou8ni2B3C9X298lZX0UW/2FLcXzYu/9HN1/xZ3f/695M/NLA+nilwL/RFDXp/xkcs1acS
IGmnCUG9UM/Qr47elViJg/rgX0g8XEsSjxcXT+pmWB7Ldb81QGftsRhcQYta94vk94bKP12Bmbn/
37sCp+ol87/+uYqcf+pbFalaWHVAAgmNHi3lJDfxWz+AoEBKR0MijeaA/10aoPYbQieifg0NYbKt
GSwX3/oB2iyoNvnDy/7tKpKK9buVgVYDTTBe36HJLXVNnfsVnxem0gRQ3lvCOyCQBY8+JbGzVFvH
2yvAK/eZVQOIVMTYPutRcBF64xMsNtxqVvSqdYbKeMjora0ZoKZYlRoyTFGQazZEYeQvpRnk936F
SHdJqjAUbQQvBOFFocmxrNCqFywj4demFV61lpkR0ILtciy5uZuhiFiDgY1KrI81IsSk0rt1WUWI
CEdLoYyLSdDxWscBolOAr47IYFsMUPUV2x84boPgMkKPokM6bwCeGTATy7ZQtMhZJx1YxHr0R6Q/
/kXCbLuY8j3iBhJ8+ytVmy6Dztl6mnKJCRImT7AbIAWx4ZOdy0TXoEfUIVKs9eCy0M2NKJRz1KG4
KTx73xRBtDR9O4NDU6uXWZ2zaZFRvhpN2B4VO41LeXYamvqkxMDMekQmMATJTCK7aBX46N4Xidko
BRzRsXqPteYmTMQNR5TUYKbUZGelRKWu6TFqiGLtF2bwmJNsb0HJ8WBPHDodpI6WB+9Ay3HbFgw2
JYHJLaG2zqilmCuMfl3YzFGtkrz2qko3WcnHLRJzMchmQPtpma5Us+DU+b23DUmTwnjKNJSkAqjx
TJHxJNZipExzCDEtJILUUDngY1x3JEWBPy70u5rK2wqYGFewa9cYycNFUqRUABMxPYVVkKrWUlyo
CkPNRSb9elmPCOc+fRV/cnL5YYuYQ/lsRghU60i6Ger8sOVFIuhF7NQA80RQrLWkly/ByHUihYkO
/Md7/bP+zXXKf1//Di8wvP+8/M0/9G35kxIymkUfHFQJR975n74tf1Ij0ByemMnqQ6Nf8E//aYey
Yjoah1wKJktoLErflj94ByoRqeDUDJPIQv7pb/g/OLH/sPzxi5nQGHSOhPwWvOD3yx8ubagmCk5n
oCX3JW6LZcL0hGltScbJRM5yaW5g0OyMEfHg4NynOWcR0bJGwVm8jWz9oOXNLo2iVdnZXu1aVpo5
q3DuSSVzdyqnTeUrhIA3feg7pINFyheZ5HiAM5Ux9N7ykOAtjVkjZCZWtK2bKFyluAivRMYJL2/N
mz5GsGR34wnSC4khmeYWAXzEcshvx1G5J7T4DtxquxBywudd9TtTGU9BaF+oFoEZQf1aMXAwYjLQ
fJKQikieoXPfy67O0ATg4PKa+NAVnE1bL3sfK2xggVTX4Gd8V1YzBUcOp6ZSX8CmQoXqNEqLPHgr
+3RyGwFQyWGk7osGiWtOTDh+fctjldfHXT/kyjLo/b3aWieNfiwV235qraVQMbZ3aYChTXb7qise
AuE8KTpEJjshKzmvV42R3sfhNJEzN901aDO6Vi1Qe83ozvydqs3toI85bdEtsKpcguok+Wgks6zd
K3n3LipjdFFIWpzmNPKeQ2DjioKGQEtiwslYYLXAXBLtJl2P/AJkCoF9kmMxLqexBKvegGUJMIc3
Ds76nBH8IhWjsrLjeGKDKtQlE/HXYPQvMk0dN82sGakHFcue3BFkuW3bCkV6lS014FnQv6uSIblp
tummMRKOe0aS7rSmWta1cWgGCGRaLuUyyLq1TpczhtKD/kKhkT0AXRpe0ARA+GIeyuE2c3Noaj3Q
SxomyouoWOerDqmTGmtLtXa+juBjD4y/AFuJusV+EZiXSa9tC05QNwB59KNsUGWq0kcJaDmRS3Ll
FowY7UYz0VdJB3YoxRGSzUrThOefFDF7Yyn6Tinre2EYW9HK+75Db+8HtXCbWqpHrZDRZZHBvPJZ
jleBkU4Lr4s48Q3AnDSA95uRqeWxGDR5hUfD2oZxt3FAJiCSvkhjvLZDKV9gnCA9ycbwZKHhWzqG
vh7tdN02OBaoU5Kl0WdfxhqFRBc+5vQ3SLOIV37A/YySkfhefdZ9pH9vJ4H8orPaGIgQaOrN0KHv
14hCG7o4IdfrlKR3sf7GGb1Pd5/Wzb/erOa3ALZiIkZnjRTyY2rzqZQfC3+oqYtwWddf2vg8FrfZ
v6f4/+xR8yHzv+9Rq+Rfbl69vP0kHXT+wW/7FHBPm+qKchhP4g9jO5UyXQpkLjNp/YN6+W2fcn6j
z6tTYSDtoNU7m/e/7VMzsoehv22ojGY5Cv8tnyKpxj/uUxwDKNHp+2qcd3nd75/B0vcGQ1G7+iTA
xffZSA9JK12F9vTCiurqrEyev81oaD0aeoG9ykCehm0OnXFKDFatdNnF5CNIBqlc0Y7SHwBwWG6F
c3pZsDmvJ53EqTTEv0Tjcoastfmq9JxuWZJ3BIRjumkbem7MwwJGeNadU2c7Oj/Z2sQPtbCM/IJD
u7+tNGvXhMOD12P+7aLipsoDim8ldLaq8F/RLd0OmtgTp3TEJzZr5Tx1IapIXY8Gtq2iR5+GbnUs
OWPkk0N6Y/LkNfKiMYt6H/TtjUD6ufZLM1i2vSkW5mB8MRkPbptmQK09GOPayYevZm5+tWzWNlKW
Wrcuu4MzaI9II7ILtNqYMy37RXbBFUs8QatR8epk6SlGX2tr3ezbQq9zP2DIJkNUxVLp5RujMF8I
zVn7OeEyHpyRyUi/miAIB/Y1NU+Kja4Eb1bVX/dm7G+Z9aFehZa8ivtpcqNQMVetMpysAN9D6Mv7
0LMPsPSgnkg1JyUKmjkyY6KusniTYHPUzOY5VdmFSq2pN6D6TtOk93tbjPc2bkL7PNQMrAq0fNCH
aVs5lyyC71MbGESXgl+to1aHd4DLj+SPYZOG0JHKEEVFAWDwSovlHfE44aIYARvIGT0J4vlpEtas
t3Gc9rY1E/8IFaC4mERaOYRcxdvCyFc9JYQKFYZGoI25CzwQKZ7h/YwNIumptReaAqpE8xGYF2ZB
vZBjhFGU/OxHHiVOjcfdFLeWwtC4j6q3tmV4kZjQ8DIuMUNcLxoeIDa+WWzqnkLkNLLYEm1lk2Ll
bF/0tAYOo2tPaIyfaYEbC9W3NqOjQ9jEOiMF0CGLtHSOGmtF4kgo4WUi9nUHEOpZEl+annVQW4WJ
AskK6ZS9i1nL3LWg7U1jRAkf+8aiU6JX1VQeObrDSxquE8yJY6fcwqJ6bmhp0cgHkN4q+3KojkLz
7oYs2o99yt3y5L2fIukNKu/WG6x9E3GFCumTPV7QW46RaGVSf/Ks/g4IGOYGH5HkoND2tkLxpdad
676Kjn7BidjDbGlb3Rz1ea2NfJbUC68q4KrkHSxxNF/4Rb9ozX5fKMYXf2zu55GCnxkEwhnUf9NW
q/BZCMSqcT0+Gq1tbzArpZyY4USwzLFXlwqT9JHUKm/omHyH1WNVpxckQxxiTe4Ibb1vMxLWOrxN
y1Lrd0VlhEseWGRZSnJNQMqXQksdsNoJBzvT3kiMhCsiluyV11DEoS9I17mDo0hH7BrhhdoBrl8O
tbq2JVXMvOKySuGHjfXunLdMCWTZiHWLztwX9ApUsAyCS8CadKWN5iFqnVf26RmJYN5Jk+Ibr8tS
awkQ68aC2fO8xFXB5Ha+uJFOhtISC6Is6nRRk/7nqEayTaEtqUkDPQsNEIrl4aGd/BtV6F+sFDKG
L+1D3AXexvcVZc2M7ZoyuiL5LlaXo7S+SITOKzVL7IVuFiSuKxNsRqnPDIp1HLbvVTN5N1EJWjis
1Nss7LJFC4jktQiUo5l33SqvWSPC8IES7lQhk0Xn/k7yL14LgGIk+wjS+EoqzLA2aHQw20ofUmIO
ffJ36Vk0ZjfH6Rh7w65uHQhRiyq1mI5P+TPmU2dV6J22aOLp0cM0u7C6GiuaUi6ntjoDaDwGvgqs
0nse6vZdbTnAa1l1kUxyFfs6ov3GuGrpL7SOgvxBVHiz6hIt6XAp8MEuqjYTC6PHTQtM6lYbYLB4
aEfy6D7qQNzGpj0nn02PDukidTnepwa+gD468zxwEYb2Lo3V42QgN2jmHMFOZChpwZiRhnqTaeNR
NesLMUR7XQx3GelJnm6cTb92C6C1SCT4VusBJqrEZHQCg3SJx52sjaiJlpmQzYI11sU2us3KbFtF
Dc7stGbZMREOmxp2YNWDWaV6ycYsot002WKnxP0ui8zArUK4XWRNyh0JcaHrJBGiaa3IVrGocM8C
gydYhVGe5HD0T+fgYwRPHvovqrKn9svLnxsH8898K8ikyiD9Y7zNCX0WUn1qHBDXjuR49pbSHoUg
8Z/GgcO/OHQbLPjRVOtzu+E/Bdls92QIwkCbYT612t9oHGji++HABxeJeFVaEBwJWHJ+PBQkTdUQ
/jmIUxPlj56TGRsz1pS9VFogYyjIrzDd5duWOeJxiL16neehumxq/aLiwA5ZdcBDoDvGZVVNKJZs
CEZ1b246SpzEHopDhRmr6IS+aOxXhoDECKX9VjPb2aDX7xzPBqNXAGKD1N3WXrLInDFdWr1+12fV
Vg+D7Lb0fZwJRfFqAt/L2+KuUvViqafMgk2/fE1GJ8YsxTer7PvtgDQL7HAeZFdISzdqpOtnRTP3
ntmDuOkZE6a94rkKdHKo4yXsmebFav1XL7VB/46ZWPljUe5shJWLMleuARwmeBYx2KQmLuxEq+a6
xLJcj0POEi8AG7s3noOBbMPK0d7q0LwCJX60GwbsuOAfQ6ndNrnDHDySXxEEDCtv8u8q7EBhWe9a
Eyl4Oqlbr3TehIizRRQE29gZrjIRHWpQyGnm76PJuVWjgvCkmcBdSXFL25q1kpvQBBTJCamZwJ6M
l7GtqZGt+tHukYPVRaguShyyvS7OdqKrbsDGGzpYNJW0t/uLcUR1gIOdLgOcIXMmMIT7jpzQnRbV
163JZj4Y7GVTRbQHCuNFZCYQL4vEtQhewomkgBTKHEkApEN7OwZ0Sfh4OIezOrIYN9hN5aIzAcJn
pXPwyXKVZScWzpxQqrTENE2h8erM0a/lKN+T3BjNRfURDBtJ55jQ1l5m2ey6jQHq0UiJ11lCIefH
+SlIiZkV5M32c/AsscRIv0ZituZQ2hq3SFvJY5EXGZxzerVNiM9BncNsVUPZRAORJZ3aPpvk3eIk
a5dV6ywx6iJ0kvCl6TjDbmRITv7UdG+FI/Cv/EsKQrRlLHFBftaVOmfsok1tydxtS7R1WWxyHGkq
bWeSzFuY6cXQGCudxN5RjU+61qLxSBz8uKT6CtJ9jRS8aDMH/gYk/1YNxVpNFrBXyBruQAv4u5y5
eEJcpyQHI+fYlHF0HZIobLbJUy+qL8YcNazGau2OpNvYVdy6ldmjyyWZ2LC5uIauXBANq2/MOb64
RaRAaot1KUr11f6IOCbruNAkMjK1WBc1vbW8mUp3HLpd7KE37DIBnbP/EnCtsZqgaclMarBcFo/I
vg4OdZFps7MGWr2wpffaCODp1ZwMlvTlEqVCjsG53Q/kwS1HJwEeMxpvTW8c+lIOeOiiy9KrJA7G
NF7Gcg7crZ/tqNyDRb5T4+leVWrceFhkJ51ufe8cqiGDLCpb15+63nXU+GCXAB3bSVzXjvY8Nk5x
8vUZ5zUow4USj8ouT1EmQvW67OLyBjnl16CIr20zM5YF+EZKH82rd57Fq0xVYGxTS19VXsngWlOS
XZrKq0gQiGZrurksqWBQT1rxEh86ww48gPA1rVOU1wm/HrkEXpCQS+eDhGGKhiFJvNqT+m/J9z/d
j5lY9N+7H2viW7OftT74qW87LWNIdlNCFGh+WPTc6Yr80aIHSQxzi+6GKfgf8xjyW+vD+o2/A3f4
fQj50RX5ttMavyGac1TLsGhkzXvt39lprT8TCJ15RMAw1MJqhB2AX+LzhDJOyWceGs86QmC78Juy
yw5NL0fCktKuKBgWhu20sXt88xjL/eEe7xlWyNzJCPhtouBp0OqbNChHN6hxfZIMuEHr6aJJQaVD
gBUCTYZf+RwZCdmVgtgIV6NSl5jCjSOsCpbJRCGIIL0mcfyhb3M1vmqI/L4hDXrr9ANZXB6bIhWz
L0LlGHuZjdu+K1dVqvhPY9EEZ88LQvMcJKN1NjIb4ZEOpU9bsCRhrDe8VGS3pqVg2OA80K9oJHvN
qVTqILxvOfB2qyTuH2IJ7AE9W76FqhKNHHWrQx/pF31rXBs+oHrPyu7FlNySTceSFBSvciYim0GL
DHkKl1UTcW7QvgRZRFNd0Y9mK4EcD/fQHIylRuNF6RRXSSkI/BkErBeF6tpYFvGY8fVW9eAB7qyN
Zip+lr5xE9v9KYoKAIdK+CYd6zZt9a9A6cNVnXJRDLu5srSYMyYg3m3P6y8kaQbPxIdxHoWMLyb0
SuUsO0sT+7ZMVLnOMzbyTGuAXUVyG5AJknVd5aZ9uNMCeuIGCP5FVllkS7Dlr0AdJBTo4wXN5ysP
zNBy0gLmKrrc5jGiKyy3tJCJi9yNnYpgrhVvIndcu60xE3mGB2S33jCtefGDfI8Bal9rsBdDm/Bo
bXJuLI+Vygnq9eApb4YzrRMx7AqP1MDKBDDkVW5RTeYW7D5iYq94b3JUSmaIH7pV0tc+cAY0zdkj
j3SzkE7HkHxusfF4Xekq89fGzo+NQYdcn7xz4iAp9HNUeoFKMiG21JaT60IMlUGMQUcVweE2MPLH
NpJsVX5z0XAHG9r7BhGJm8GA+WWKMl9Nmb5LGRUNpfGg1s3RacLbiNyOZSjq+9QPrgM9CMH3thvV
NxU4VQwOuqC6Hi3vlvzrq6ls+YqoCL9HlTBBJwxxZFbeufWm7Zh4CoJ45bUqFfLQ9CLejAaHwUkl
fLJvEb/7Ro1AXuiuqo/TRQ7uIBrzcZ3bxsw/ybRlygx7Uer9JZzqt4TorxBflIuV92BGBbp5Ye3H
nNxr4STJYgQAqvIFcHU1eqlE0a9Hpzk5lf7YKQEUCZ6sRTSmAIFa7T0dIUXERX7dTsWyIaZh4sos
LGsAvJHlUG5jcGL9lG0VnafTm1sndRJ+TUY5cQi1Ho2enCL0fLsuj1FgVnJHO1ZzOX8gB1AgKesI
JkWq6+u+jE6hb7qmEl+nSXcEB6cwj7FUGlrxKkydM77Rcm0m9O36okeliad9UWbmba/iQhCVePek
/iy05JWpw67sNc7TfkN9rMiveq3c1xGAjTRN71OiZFbSaW/GsVFBXqVP+ajvsSGPuG8BQ1LHWsBE
rrTILiwIpETmjUH5ReuZEUkDF7cC96w1yoOpDM1qiulidtOXSpNPJe6xrSPgSxaOdZ7aDtNrEwCs
rkz6YFAxF04wvnoju7ywmpsga8BIFCLZjqQELloLIkMaaM+Fqd806TxTD7C3q63Xu1WLnBJPaLbM
QnHsYGivUDh+7aaR4adBByeSndt5DIDiOHOWnYIb32lL8J6Czigx96/ITFMGWbq2Fdjhj+Fg4Kmv
ywH5L1gyTZbXfUajYLQhp6tTt4rDbOA+hevG10Y3NKLRHaOgOKRWvxtT7znNBrCyoChW0rLwJ2s8
rURTvZpWRrdz9pYbmbf2dW3cmllV7vJCX8dg1t2A0n1tY+FasB5OGxJsnysbUESlEFHubXJaY1eB
EpogB0JnMZJYRTmfkomlZKBNjdG7gntVrK1S3ZW+dom3BDZ8Gtkb+tG+21u2WHpwyi6Ctn2LCYhb
cybRLiTQPsaRQLjjwc+2QZZNd1Ofcm/6UVkbUPAXCk20hS8pdI2m22kpcFdVtWGJGt3eT5wLz5n2
Sjils5G5WnvxdFWlnusH1o2tkE411XRUgxbmPH22c9EGt5lEhBsT5bFGlRMu2kCplpHWvJolzp8U
afxmsBFzjyrWHGrggejh4NyEaM8peN0YBcqmKKY9TOBLL9FcuKbnDrvISovm/FtmAYvQqo6OEb3a
xAQktUf1aTm0g00FvIBiXOSaPa4wUCDBnEiCFqK/V9v4JY+VM8GuN5jHcxKjhIm7WeWsoxdfE5Cr
fioIjdV0gMGhzkuGMnP7hGyskC5n14ZHzwG6pJFx6/Yl5KXci/cEP4ltNET+fRkkLtTrJ5Om5ULy
1bWS9L1KmydDUxZG0ByLD2Vwk756kCpXqsPc1kmT+5Y8bdBF6H4lOcCT4BSuJOFBxZ6zyPN4n2At
WursqYbSsYCp6tfBrrdW613a3piS5DVeQMp1CLElcNrIHtKxOg5zfrA5krlbMS7lhsIZ+T/2zqw3
bmTb0n/lot9pcB6Avv2Qc6akHDRYwwshyRLnKTgEyV/fH11HVZLssm8B9wLdwMF5OS5ZZg5kxI69
1/qWdsaU+JtSuq+yp01rM6nIK2Xj1/ELQvhV3RbNunbKZV3yU1koXwEXnY/BWUbMh2gdiO7Jo9fG
TyF8SSB06iwWDlGDsOmtxg0Y9hKWWEN3cYiJijI64jEjln7kfo58nfazbr4YakHGjOVcoebiL7OA
d5l2HglkCKZKsClZFdGayu2BCmxL3umqotKZGY29G60iI2kpOtiVO/NJotQM/nFYmLi9cMgzHVob
WQNL07sNHE7hJXR11ckgzOdf0UUgKiDIDTQBhirXoIES3Qgp6QzUajSfIszLyDsf6JAvDLu6bBXw
wU5saSjks3Vb9PR/J+iDJrMZXTyA7FkWrCKfRycfEbsbgtZ/V/HW3BxmNHUnsoMIN5UxVQ9i6xjh
Tg7xa6hZ0SqQLmfReF2M65qOiU6YGARKrT93leQ6TCd1nGlmcywh6zjuSlgSFDLG+GTQGLFl8OTa
IIZ0ZveKr4Z8WdVjUUA56nUZW2zEnTjj8QHSwviKPulXjXYF7HyO0GLpbowA+CQqtK5JFr5rlKfc
FtkwV/PIBolvWppyG3ZFoc57rFtih/5dZsyXZOd2QLg6ZTgNfDu5akXKwvRRUgejI6OF6yW7QtKh
6BMS0ejtrkcPro8olJXixJC7E0WuIrNYECjWLvyOBperjcvc7Sr67IG2TPX4xhD5lTTtfoWy+bWK
xa0ZOdYso/BSfJQDnuVtQ8d8LPP+2E8Uq3DiWYUT2Yq6q54nCbQrS05NFQYQbCcDdaHKxlZPfKxO
n747anPO30gKQnLyNBMRmbnoG2ffAdnygG1NHsdZDn5L84ZF7Znn2sTlon/xxN4CMBNkVwK6q54Y
XsgMX8aJ6jVOfK+hczcmwC9SSEKKPNDMHCXozEAFs/38m5AZzTZ4YdZEDqtAiBFQf6kTjZZPbDGQ
ajTjMv/cAzvmwGSaw1auN23HEz2xyervlLKJV1YDLoPnaSN7A8Q5Mc04fz8kFfCh8JCQ7hVbw0z2
xtYSNWmnbrdXMKExCmwOmRV/Kyd4WkAmqISmVgTq3vKGVQplzdQPNiMxhcaDmAhsHSi2BNxcA5qN
DPMbYFZI5oG2uWLd284VDoE5de9+AO0WlZA6JtabAfRtnOhvMRg4XuBNOLXQHWrBZTix4lgVHsyJ
HpeNSEUKgHL9RJarvzPmsvFCTtQ5BKTEwqpo+JOTlPljMvHpJpBoBrAuBVwXTQC7iWT378b598b5
5Kf/+wP9MW2zx/rH1vn0W28H+iljyPMMdHcaxkx7iun880CvfTHx/+Jq06EDqJOw7s24pn4hYwB5
gwkt8V9C5bcDvffFArXMSeX7aX7iMv6T1rnzQ+schiNYZ14FImaaQNPP34ldTLyvZE4O2sFKZZNs
0Gbp2IOr5CL207k51ico67fIWadhYLqW7BFKFNazLPRBDQVrj1C+WZT0tP9KFMuFODETQ0uknrXA
Uu2s55BSL8Z2w+nqvgiCnR/g1g0OWuxhk4pqAsstqlFHo5BJaoB1MMW/paYHaaa1kpnpu/eOSTyv
yyh7ZcrmHgDvRuog/A2rO0ayMZYV4ih+rp6NHbU9ErMLyNLEwjvp11xph1km1JeorF/lqH9zFUhN
RZuEc6H3V5nbMwXuzXuquVsxolcicGQRuzYpkCOzYXsYzhQzuUSWzfKcI6PqSflD5spf9OtXhLP0
YEc0fZ1G0gcrZKxHQJx9cPNZKHBJF8azmtxZ9NZrezoo4wqWYmPHXkiHoBELjuKDiTsa9C16bMOA
JmMMEt6X0XiPWmT63TLqBTigvGNl7PNkQ8VSLdEtkqiE9XWJWltSoXkT38ZNVzhv8a7onUATR6Ax
pzbZnFjMUSqOqTh1hRGTacnGUWLumek1lrBaoHoOq5gY6jzRoYHZd8Uo0IS3iVyawnSpo6gem0nM
0HtFtvQ9n/GKI4cT9yaj1jZWF7Hs5iG5DTsPUBCtbjO6oHUYL6TX1rswIHC7F8xLofyQWl7pjBWU
kOxCLWlfdQ/qMp0HEsDB626Y9D91DV+f7npkNdD7xb2FPDlijdzQGXvxlMIimUjKJfQ+fSYmlLBK
rDg+7fToGgHzYPDYs0QZoqWn5ebaTA2EH11trd2wesl6zVtbk/68EgpE8bHAo+GmpGHhcX50Cw76
+hCpG181+WxUKrWc3v7M0JpELDSHHPhMKPlTOeQswjUjz9qqQ/oHijiTTiHPAtmKNfBn1Byqa6zL
xk6XfHnmzK+t1whx7swcwle44MaaIyKDE3XMoGV6JXWi65pPakZly6QeZneG0z3IhD2rmCMvfVxp
7Gh+bqNCbNMnnrlgJ+jSbuSY5M0yjF12mN5w+5XXWSJ+TVHHblxN008Fqg1qJac+azgiQF4s6UCp
/XWqaCRhqPgXc8NLqFGqr4NC3oM6+g09OFks6xA5bFffK0F1m+IOnPmuhzQeFdOyy4oC9pODFGSI
v2p5QTZIHT0MDEZmOj40GHguvemSge/YnqK8cWeWnU5pT0619VqbGNzuAbfBSgZuiF9OeZVxUyO+
je4NJd4BGL0jw9hZG7Viz8kLmRYR74KPYtsm3mvBc6pMsvUmc68p946VFu5KcA+0pIo9XY9n3fZu
u1Tp6Zj0pH0Ld+sKsSnG+qoevZsqtH2Cn7JwXrVi2cUDYVt+NKwNhspzVJ4Eumf5mWSjFm54GahM
zJwAJW2bGtWZpY7ssDFKmFzfMKzeJY5/cA15ofTIwAaiEnlSIjHLudlmCCVzuh5e9BS7ef5gJ028
CYwOgJtJ2GtfeeaOyY+FgKGoZyZhHl5NFZKpbc68ojoWUrmyUX2tYzqcuwD636wvAixqg3R5SQCX
B6WxV2XPmuQXMjhl2JRnNY/LqZ0enlElLx1eV7xpSitcxn7krVWGapdpIMqFq0NQZIVp13WMY16x
wBWUpjYsxxilSQw8jRXGGdZ9O8RLH4kJZLnMXHpjTGdCWK84N4i5NMctqMSDCjwzM+JzqyWd2ZCq
vjakkS4N4kdWiVlHq9Cx1DVzPm3BgaXY6OjF6E5AzAtTMA6ALNe60bPUIyLYhBlPrS4lttvcCOic
Tj2oklVKrXxtLXPeqSWwraKVJags1uw1+iTyMAiWQB5C8myepSgMHNn+u9T5w22v/bLU2QByBMXb
/FjsTL/3Z7FjfJmmE1PiEfesoSEG+LPYMbFeWZpF3/6tonkrdiiDJncV6yEeRcTQyC3/VeyYFE+q
prMs/jnz+AfFzmfZpklcuktsOpYFeAFwVz6WOk07SPRoljy26g6hdjxcFvVv1Ml/WP0/mjtVTBIm
2GyLqor3+/EiGtqcOE7q8mhIDPHTI11jgQ0NPTeOoSoqcocLu09OYxHZ7h70qnMnAkdPTq5qDfNQ
zXod8kY5r/tiW4X9eUTxA3F9OUYYp9rRmA9DevQJfUgLZTvU3kapiqtGxQ08hFiXKueyj+qNPzDD
DLN+lUeNtrDMaqeU8qC4yVM6EIjLmtCW5TZO4zv0iRzVoxAcdL109RRoXw0eqRevonXWZRrJRVqZ
zjqqzBa8PDnojSU3Vcf5sXXiG8fdVEY95+3dBba6VT3WZJj/u6rPX9LaCxGzmQgbsxefeF0WVfaD
Qu3dWVWLFWk+58ReyIWbT4ImqSfUJerTlMiMSJ1McDO/7jRKRl2/EX2YzuDa3ibZUENUks+1be4G
U+SrKi4v8rBnmlrhscBpZs39QlzhlkHHZxYNagjjIguQ2ja1cUolO9zYtXdKbMBDcWBy6Wxirt68
xk5FZxVBPH6s4pgX5pkjSYQviUeEB13FG1tlsaEvGICIZH2OSh1VHMB7trnxVgORbPB1zopWubSk
gkRQT69l5k0SlOQeZitYWVluPaA9+7SREPKVZFcrEbwrrTJnmhucB82zERcrtkdyIKQ+N/uK7gvh
Hf7IuN+vSGUvAnicbisWDVXV6FjPZcSSJwcIpo757NZZSAx19OpmHI0DEyJ21XjXaHRfzYig9yp6
iSoGAFrNEquLkN6JOy+C7Njp9ZMWx+pcmIx8YDdssUbQ7e+aVeROAl8DS7ZZN9SEsIDZptsjwrSb
LqD0UtKGkKBQTHOpq6BvqkUBhXee+8gPTcH2Gjh46vj+PDe+0okvQtJHPe11t4nKaTwa7Nc49h4s
LZly+zCRG4h0ZgqpKxes4mIeEHgwZ125CYbqKjetchcmxiFIUbCERSi5WWFng0xFsVwRuCj5PBxn
vE9sH6CASkgh+S6mJu1VJ9SbJEjpQRAF2CugYLqgoTetvDaKe6+4AzsGRwPH0Jg49j5iyaVDxhrp
MwZ1dfndii5NUfn4NxhHwbSorq1AUhbZCXc5+oCbBKXU1hrJKLYNeV1V+kYZy5cMgXaUlClpmuU3
rakmyx8yiJaM7FUiSUgTUXxrms0itTl11fZXbEv9egjBlWfYOCJFuRRtjJxHxkRrL/yMuLEOJZHi
4H0SXgm7LrWsGe3aeWCU2Pw5A5HuNndojytOPQcUq06hkfu6cO5C13qJVCRPLGsVEy9tlZH20IXD
meGajwrYVrjpJHK290FLAg5rzqXItSU5lpeFZmwpQy+HwVnYSvCVmJv72rWY2qpnngyOeMOPQxZe
jHWzGhle+d7wjUYM9h0nXiQ19pDMV+ZJBdCqFuRu0MEXZbd3Jhp0laSM+sYFE1BJ9UkLLnYV5jDK
YWjE1yzykqWv1y91Qy591d8q9YvVcid2trMyzJhAGp98LPTSviQoLG4HRVmq3eB8dYKuX1cVKo04
IE7Ucsum3CeGcZcVJlGVY7V0ujyAvxSzbsFLN0vKL2s01s2AYdRNUW27Bv6nql6JRt5JmX6tK+Ue
IbZxUltrPLLhVSuRVo+Vrm1DYXzrffdQjcMesUywyDM61Bb9/AXhRS5JHmm0yuCJXiPdGC6CLLyK
guCJSaIylyQAnAmaQKTrNRAIcmZIZhPe5zrfogyvo6iIF56h7Nquvmu1YmSEYGQrf6JKlLy+WRex
98y9hDWgVVJ7UbclnFcOJ9ewgJnEDBTvwSR54ymvb32vbhdm42QbnmZ3UaXNwrS7btNpjVzTdQaw
yxGCWksNsbsS4Rc0TONor1sbCbprUyfdEZbWJebbqfG0jjuzmxWK/xxxzESBrF2jUb8TWn8VWMLe
Qny5mw4V8L9Gf/+u7fITxw6qiPLTpgtow512XM4xxDN/3HTttC1h6VTtsXDJ1NQOsXtt86ot2GTx
70gEH6sIyhQdfQUiSA2dFHRHZ/Jwv2uY1HXRN1Nqy9H1l37ytRpWofIbmMDvLjH9/N0lSGhMU9mm
8ljyYA74RsLuwSyvfv2Z/fQi2CxVh9pK06eq6/1F6hD0WZxLeTTEdVWc98pe6ba/vsSPXwsf1btL
fPJqNUxnAs3s5dF0r7JqNWbkRspD7jzGw2+uRBft0w3w8UrTK3n3iaVhZ2V2w5uphnGm5Yyh9V2b
0RTlnLobadz8+o1NL/zj/aa5dO0sYsNhC6LW+Xi5Joj7URCScEyrOw2jtmNfB+HZkN19v8y/dVIa
rc6/b6tus/JFRI/pT84a/N7bWUPjQDHhW/AJUKFB3frrrKHZEByxh7EYfM9h/6uxanBAMci6ofjn
F+nHslK8NVb1LzYOMRdSGKeE74ixf3DWQHn14R6ZWA6WCUES2QDqZ56CT+uEg9E075VquOiNkgho
LSFb9qJ00CC+quOYW5RajdqwuxsoLcZNYSeJzCmXY1Ywm6ajrzP/cLEhbITWOdDSbf05AIg3Lzz/
EYjXFelQ2RGDKa2s0dZXxPphITXV+oLYjdewdNlxM9iEWj4dvduW3M2aTO2GpgpYfM06H5lBQHJO
G8p95v/DvLdRQ8VxIPalqiFFYayHJiU5Q9qfL+pSDithUc02FR7ZFEDWPPM0VDYowvZmN+wSKzp3
i8Y/I5sqWSWKx7TEQ0tObY3sFvrTsOo9B9VAwzZcUeOh/HQIfejZESu3hddkKvcpq3dp9/nOCdtr
zQ5Vih1mX8zYSjAOg7IXsf0sczb6qnC0NV2/1zGOHxikYSsxOw1MuU8Qaglf/ob5sY/gI0S1axTb
NoxfmmDU7yl70dag9gKSkFYLp07xw+CiJv7Fy70z/DXa0paqsjPLXj23aF2tI1hds0C09rlwnJNL
uvcVJ6GtDIdrpURBXpg0GlW3ODk2QgD4YiSZqiaQzoJT3Jgw0zRVSedmSJRzLWynnhlSzfuuJJPI
V42ExtygNesgUwbK5FEIW4CPZW6u0/W5GDRq9pkSaD4inJh/yZu7nkLSCS1SlFy6o1jbshn0a0Vv
02hLv3LcIc72DhE+nGpWjC7DRo8PwT94zB2Z+9FB6zQvOdeRYGlBNl4ByiSu49+r1x9DIbaDv1+9
rh7z/1jBonmO6uefiD0NfvltCYPHQBsCFA0tg8nNymL0Z7vEYAmbZkMTXIZBEDvMX2JPDwkfEMC/
futtCXO+2IAaLJfH0yO3AB/EP1jCpgXqr01uMlWwFtKZ4X8T/QHT7Ic91UpBK8a+GA9jc1u5PgeB
5p9uo/yrJH5CMwfgyCU+LZFj6dtlXxraoe6VmVBX2PHpp3+jBn33BRz/eM3v+fgf3wkl26frfCp1
CkUrKwHq7WCV3VwT59L59usLfC+W/vqsfrzCp/ojYEaBt593ovesruaNQ4saVqunMBrviMBR53V3
X7abNjo2hT/Topc4JEDiqBenJr8K5LSqntk4VF0fyad5auMrSRXfe9lvPoqpBffuW/3xlXJjva+U
jEjxGymmz8LAxcEyWt622A0LzTxIYmF8Igej4dVBZVfxfxFMzH/9UX2ngX3+qFBAWYiYVUQR+qeB
Y05J2HSqMxzoPOHC0TyRniemTgzlQKeF2MFYzYlpwlIpemh5rbzUUkRLMmfl6lRlnItJTKiXrUre
SqDupNcwckmzOz0zdvjhGN2Tyard9EYGui3xYjQvbkP0YbxkWd2WTATJr1lpzQBdb1iH4wHI8DIL
SAdjNW3tcS1675jpR3+MVz6ZPhh6gvq6DtwLYIgzkSCIgFmjIwGCUzB3CIgdkGkk1nVRMmex6VaP
FfJJtBct2UiOmi0lZIXqro7JpVIMLD75mdaYpzi+iMEjdDihbzIrnZUGHL3Cu27YOMzYmsVTa9uK
AhO8f+UuVJfOe5Gk9w3w/SzDEeJZME7wCv4mYWCaVr+7RX548D9jWGQEqKfp6/Ggro2Nvx3Pm1tj
TQrRoZ5p582mmqOGWXjzYWXMd2KHqXTR3yvbZNWs1bUNdS2++M0t8+H1/HjLfmqpmikpstl0yxbJ
FvZGjrCRxNdVpf5mOZpu/c935vvl6NOCh0IbiGLIdejdpdf9tyqYR+2cYa7t/+YhmHrkP1zq/UNA
hfr+KaRjkwrDi/RDaMzjI4lYeGsEsTU1mbTz4IB68dcf4c9WQHx7HFemBjjigY/XyxjEO05q6AcJ
bDEfnzrl+OsLfKx2//iO3l/g02eHCMrJu0DXD3W3mAb3UqGDnfzmXfzuIp9WWa/37HFwuYjXnY0V
HIJrENO/fh/T6/x8D7x/H5+Wx4G9WojM0g86z3YPFF21L71474FH+H6h/+6z3UX0LIq6eG3+9/Qv
PxeIjKIgbP7Pxz/Wf/w5eCkmWP6HPyCCAqp8al/EcPlSY2J4qwimv/lf/eG/0MzXQ/nyn//r8VtG
vR/VjYieG/0nhzT+29+XR9t8+ElVNG1Tb1WRZn2x4e1R4pjk5X2wwOCOQS0D3YMMBQdIFbf5X1WR
aZvY9OyJoee5Uy3xVhVNcaWMY0hl0SGAwPz8J1URZdSHWwSY9KTnmV6DzquA9vjpLjTClNikzmn2
WWKHWElT4s2KjFb7adC7EdVh5IX+aC/NsFNDXMsdQgpLa3T4UwbuTDk3h4gI3MqNquEAPYLYCtIq
pcWMWevtqqX7mIbGWnNofnNwMNOoRtrsx52+UHyvyAk9tlvz6LStJ/KFo5adedZblsQ2qSlVXD86
YyOANTXgFZCc9L3oPFZunAXruC49CEgqEV/9JCyQeFSrooSEgAW8aouEOXQSM3mpZHcWDdgF8K3k
eydN2kvNTuSTmltWCaQjDJ46U/SrlLCqc9jpBZ3+wt/HCpAggA0h/goNKqcrjeGkObq/RSErL0go
l2SSds1C4NEoJO4btJe6eHSjqJ6nDdLMeYjAd0vKcXOtywopZ5hbWNBSb92FqWRAAqgab/06RUFx
ieKB1K3JxJK2am8isa4xuzQNzghbHfYClskqAc29MksNRWFdA/FgOmU88TWxj/kqDnKthI/neaH+
YIzleAxH0uBnid7qT8ysLWLhCLockri+M6yaTFm0VMe8pK87ull7aNvkmY8031aAlq60OlJTIqLA
2JpsojPLKcL9kCXBIhisaG9Fdb32PJI/8cK6+7GikZqhbcEWkxEZbQTDMwrO9BxTf/21zYp2VXsx
WWpKpF8YhoZGxQ7rBN8FOgStr+wT8xJlxdGwPhqRUS4QVRZn6LK7s7pOdsibR0jFiruqrKF/lXgK
N26ZBbu+wOpMdKyjkPZOiGIW1RC4i4EBe9Nwwq0GN1+XAcYPE1oK5llBg2vUPX+XCsX+ytTnFlqM
fq4rbnng5fsrJcnMi7rQ0X8LoR6GMYS27Mp4G0RIegsYJEwjyuEyFK5cdLWslkPU9sugG/1VDdIm
WPyPLK3rl2L/mL3UH5fS/5dXVpPd6u9X1qsiffyZvXD6rbe1FSM/6CQNKaJN+5JD4rsTpz7N7l3D
MW06ZO70o7e1FXwSf5XO99u6+9fa6n5Bt+gwpDdM3fnehXvbX45/bKtsTX+bbUUT9dPaCixgAkVC
GQSMTPrKpzLCdLNYmK0+HNwmEEcHR9FlhAr7rkhNfTdM6RX0SZyVywniQg6lT3wEKRfalHfhTMkX
oUoGBiTeCA9Z4S8dpRHLPKrCpVup+zQNPTg/mn9Owos4GfgYZ11HowY8PZQUtSj7jeJ6u14f4a83
YbPRSiN5hquRr+mU+yRSjnImyrp/yMIw2BXVlCQ8IXZ0RjWzGooLOb3DV08n9DU1Hgc/c3YtTccV
djR5lpOQsRSF7Od94/kUF+ohMVqSPqIkAZ9RoRJgRaDNN4mvANLN1Hhs9Jkbx0QMatLkpJgtqnEM
XpGF34d94JO92M2ZK+5i8EzMpPNkq+PkAxjl6MdAC+7UZMDVZQgWwPxkFZW6jNRGWTd2MEKgao0d
cSPOMmU3Yueot1Fjegs1DM11kubmstN1f2Mz4J5FVpDsqgyfll90p1GwRJYpluFWsfATWxaJkDCT
9MDbxwbFXzfw6SitEl5GoGUXWaRxxEeguBgcBuBVWO9aPX6oSgcLNRxVtH52vNQC5rpBNTYYcfjC
FKkJ7CiJSoiAtolNhbMTXvre6tZZw3h4GNvykeyr+KJvzBclKdRFpWIqyNCZLGgQ4tsOrtCpnDIn
MGZJ36/1Lv2qx7LxSL8l9EDo6aGrtGOhE9EZ1M48NaJtqajrXsf/Rezi0i+5jm3jm0w7M7iAD1jO
2ZSxJmovljWtz7a86sIkntX03OaJmhOGkKkHJ/CgfxXrzrDO4967KKW6DrWWnN40QJjp2xAb4hWW
10M2Rs0M7fjKI/MbitVwYQ3lokyUGzDEZJb25pntt/ykxTqlC9xkWrXwQvcZZzq9z+Gm8mj/9n7J
4XXi6jS5PmT7KrGKGtai3T5TlQicIUjgVz7pLd73HBcHjeG5ZleinbVT0Es5Rb446OTOgykG5t+L
8fcuoEaF+feL8VmUB/VPamN+6W0thnKHsMkiskSzcTNOxeyf3T/1i8F6azNhpPs2dZvelmL7CzCp
aYVEhGzDj+eX3pe51LmOzkBkaif+ozLX+WElRrPOUkyX0QRwDenu44lR841mSErH2oejYogbDM9p
hrViyCBwhEoLyy6u9eiidhPya1E0VWtVpidVIb4PN2WGC6xvonkDzBqDh2vX1TYrxMgKwFOBD7KG
TVXX/g6FIFaiIi3G5FRg6S6xdsOUeuil3iDEMPaDTbKxOfnAR6fHk1uFT4h00QdPbnHGPOFsUBVW
1HaN9AiugU5sqcRkHmr+HZUZtvOCdXRYpN/t6IQl40yfPOpoZHGoLkL+VXtetEOTX5jKYG8GyGWR
Gfkgv1KJRJS8Ez/vyic9Hh+CLrbJX8r8uVbmq7pHUVNk8aaKlU0UoenoRf6kGsCTUxhdBA5lN1Gg
POsXhM9dFCbcM8Ph40lHhBGpf61V7ikr1KU3dOt4PGmNfSO7+tZ2g6WJ99H7o4vy333g/P+wKuKA
9vcPIu345vE/Zo/i6VE8/vhATn6Hdw+kqpNfwCwRMBE1yIcH0gag4PEs6gAf32UMGdYXlABYMrA3
vR1X355Iho22bqNrpKiieOJM+qkY+lVxxJP9rjNBVw7Hh8oJlr17mk8anx5II9QUSbKauQ+zh7He
9/39u4/lX8XYhyb5p6bUdAXgEhRegOcJv7M+hwu1fm0SYN23e3K8l7pevtKQ3ad+fMkR4LURGoRK
Qc61ichZU/Kt7ngbUcXL1uFsZSs2OxIOrNwRG6VWr+M2XFH1f1NSQOS6d95aAqxPk8jZGKYHDQhA
cm50TYWQK6sLOevxcAZ8iHMrrDJai8UwkkanWtseTO6rhAhvGFloL4YmIu8UfNq3Sp+yzTDKLk1q
C+YHgXIXp+gGvcR8BmqTrRrNCeZmElZn2iQ8CTT34JSOskxdceeJwFgC28THaJryGPfM5wy9aFYa
As7ZIHJCkqIHmC7nDHk5IGbDuQygJ6R5scnzZuQIW137Vro2xuiCBDmk1mP+oKiSU7zZA/FRDg1+
CeyO47hqTXcRlM2VQwtYUcutQehOoiqbvGx3DcLIudUOpz5xd/HY0/8fsRo0FFyO8+hrnYTKh2bc
UxZtEj02kOVn9eQjsNwNg8iDMvLr9ERDX7+vk2CHF49jpXVu5iRHC727SI1xYWfGUpTVxh4qBIqm
9zWOxmYzJulR+LRU6xE6R4RZt2LVHZDfm1O0b6olMyA7uB9G8yoycjg/dR8uWzfaDsjQOEOiOfNj
sPtVVM8YYD+0preE6zPnuwhJ5W5ImA/yHVoJAr+7W7MwMKdbe7tGNdaMhyQyL8OMgUfrZ2vH7C5C
KbYF/pegj7FSwvYm0HwDgPM81NMrIkIpcOL0FnflV813bqmMVoWwd+5orZRePIB0gDraEGFu1PcF
b55aqF8r+ImS1FkODp4f31oYSX8OB8/FQxKUmDFy/lG3Bv3p+LPAdh54ClYEJtwHPubcHgL4Smlb
bpvqdSjijTuBO4zyoRXqvaKoV7UzOSUxBXW9N1et9GlM/FOSwZIMh+A8iUWypq5FIKo41yE1eoXD
ex5EQTxTM6T+GqldShlCh0bJeeFOytcosseFUmJVtOyr2DPv2rIOwGcKqtByenpieaVq5E+3eGn1
SlYLC/DlTNGsy95VwHoPiMggLkLxsY166aUl3mj2s6Ws7X1A3OIysuyvHARJV69890l4DbZbnBPF
rCvtludbdHDEs0Hxh1kcddG+FxFdgZKYdI+PAm1oGcyFkiSk1BfhAgqgoP2iqMtmNOktNz45Uu50
iMla9ay06W2Fg854S5yBhT2UZllv8xZRsGZMqQN6VW/Q18TLIGrPbfpqszop87U2Wmu/H73l2Ova
rDXTclk0VYE/KUoPDp6VZIK8nMaOd+z75bM1Dl+Fbzw6SbVhfbuIQy2be5qiLIZUOfcTXcUmD3ck
sa1+3oB8vwLSrvCoAha5bZP8UnaCsCndPpiwYllZ5ni/F/Qg2wUArjOnclgQMb1qjjzlLQJgghNm
rFG7ADEonpBl3MXzcmzOsWatQyu8UFP1NhEdOMxpQgXnMO8TUjt8EFkRkZqubzMDUoFfmJHzBGlX
n48j/pmZWcnsOtEyGOuRsTacIpobI7SL0B0TNOCRuBjdZG/oJYC1+qRVNn0z5H/kjRGPLq0FS95W
1/yWEHSGXenQ3dhKeY0OZI7qoE0XtWjD5SBBI7DmtDup2gXZTBPlJVJeqxq9xdDCEOZy5kKAlDgU
RipAWSQOwsA47Na5mQ1rlv7w1q+4AoqD6xyMHZ0x1du1JEfs0jjY52D65qljuLh19HBmFs61VRWY
4cmFh9Gpo68dTN9fWUl1bfvDtZtb4xRyBe2jLeqV1QbazJH9qqGDtcaYna+LoSrmKb84w/bR3omI
MIsphRHSQiRDdiWO62aX8xVLAibcTCyGrLi3u3Kby2jVO3DO6oLscmeXVMONGsbLLkrwcJXhTZvq
125beWC+4IYVSiwWhZ/CYm5jOStV9R6REfSR3qzuWhsQT1kgKEtCbnQnAjBIrXenT9hMX7f6ldsq
HvJT9XfZf59mH98TNCAbMtgnidvQJuHS+4mRnmUoBYI43zcwPYgK3Vq2PElRr35dBXyeZP/rOlNW
MtU1j/2nyVTbOCMdyzDfZ2k6wftuWJWOMOgfWC4FOnOPL2BIN11fwqNPNrUewmShS6HnZ6xU54wk
Z7GXnEK/vbTpNxhhO289xq+B/0J+ApZEHgFzdPe2GlCu/VnX/aSA+eknxJHI0aYoCvpbHz8hK2uL
qPGSfC85SwfDtRpnmBJ/Mxz1Pg0JsY44nkn2Io5ZPiNu9I9XqdsEN0PSdvsS4D4ReubWYHY+U330
wXHX0TVQujulTItT7nEPeupWupLj+VCyUBkIj+IMwSiWOOQC3lXOrtQWGM1VjBUmkMq5xUFjctbu
IyXa9f7/Ze9MluO2ti79KhX/HA4c9BjUoBJA9pnsO00QlESh73s8fX2gLV+alslw1fRO7nVYpjKJ
5pyz917rW2CwB4X3xsjAT0+2Pl/rIn1OQMAIklw281DhLBSGFyLX95JW/SbVypr8HSBYakXlRay3
U1Q4DMEkg2cuOdqExo64mRfMiM8jo4duAW2NZnqaZrNHOD9JW1kM8Ymglmw1j13IuakFwGLHpiui
4N7vRHZbDdAMbREc9azU6YOULY2iwesLtjiaZkzEAfOWsnKBTi53x5lJtlDToy8/dwQH6+aOdfHJ
kpBxmYPYTrH2BJUyxNKJx7A0yLORZOonjh4jr5mLm4AZs5Rt6zaDaiDGPcP/54TI5G+kL25k0CiQ
aMOTUjCMV5tqHakNEcjKeJ0ZRnq2Mc0JYx4Pldl8MpoWv3weeCGXdBtkN/aCRn37XhJNVOT8WXsm
he1ZtZvMncs+PRv00zC5hF+ChoZYjrBOGFBzItjMrKgnrgqugTAxtwTunFq4xbiTT3phPapaHq6b
TK/WXSfDj9IV4MhYMVZgJJYepUbIMZu6CxeKEM5a4jzCQiRnRY65uLoJsogxUNgU7AZds2rRfxGf
sjaymTmj8UymKNlFoiC3OFPuDGXi7DzhpcYkhP+Qyb4uJThxjEdM0CjplO+GyRS3HFgG7BQkz3jr
2/HR7GunKtQbrNs8IbgiJ+VG7+FUx+ENU43rzLQ3xtQ+ktChwXCjxmWsxVmw6r2mwypsLZ5ZNZZc
2Qftg+X3WeKZcEpbfRKq9CjCvnKrFjVEaMrEM0rjShoL3CX1RibUisRscpRMKKO9qyWt7FjWcDCJ
BhlA8rPNl/C62lt1KM+2Ne6aYnrGjPitIuIqNw0PrvgpQWzIWO6iwF9l5sZ6KDQAQxGU6JyMEju6
Skop2REY7xXN5Bmp72bl0pU1AuoSXsZesq+Gqv0RmZKPlE92tC5eMzxJHBSUrgKYh5bP0WjUTaQi
CbGQ2Hmo3p1hOaEmXXiUBMAzMTwURbsKJPJJQw3aWLFWEumQsYuHQ4B1N0Ug2KwryGv2ToPjtbhS
Un9YEzfr5XVWIvKvYjdNoIHiBZnhs5s2bqJBEPDYyCy6M1kCscB4C6IeaMg2yFsMytUxt3ROvW0q
XaTlok1Jzb0WgC4H4gY/CQs0DmHhDDIeoRJXa0OVkEL4UzOvIFGVxG2S/jwToNtgnfGYGVDFtK1v
9g+lLOHxkk+Gju1n9LVjHA7YEnyfsGwFmH+jC+GYmJg3Qz+7JeeGbTG10D8Nc1v3nELMYlFTY3sH
6SY+2dp+tXK/eVNfZS9vNOJKaE/4rJPuTCYAEKsTLCpn7LGrDxdJfSJbbPXxfrTMgd9ICV53iref
924nVQhkoLpgZSiKF2F+78fr3j7mweOgbT/+oIX8+LdPMjSdCQx8SFqKy8745jcbmravYrkfz7Mg
JgFDWLNgg271Jih2YYFcKBn7Q1mS74VRR0ActfSVERfkJsR4xgf+XqcR0g9Ntq5INAIxr3b3hItf
FLJ5k3J8o+rBO6cs4JLRzdtgnbXRlxxnhcQs/DroQLHoYdhu8Awd9BinkSq8SchMun1/k7eq+YCi
8aacU5dOyr5T212kKgciMHZ6aV8MSXCo2bZNKTkkSs7LJIEHsBySfR6ysvai1N8NpVjFKb5BCLrP
szzpTjoET9Vo1w9K4Lee0qjBJ1f1r/0W6/X2vb2o70ZRiaHlUe1b49kav4Tz18n6Pe/7H4ddn/39
7zYOWUo5IwfJdI6smzImwkC9++Sx+PipMN49f2h+EjlRgumsK5eRtkRLeXI4OR9/yHIV3j/kaOWJ
aRGG0GlJ//XRG81mAH3Hb0GMgdJ+a4eMM8ldNJqf3A3lr8/4a/tLNU1Ctml+cTQV7z5oiiM833Op
nDnGfGNTc2/TNQxsD/+687DKVw87w+mPX68jJ7wfvefUm77yRjfbz8JblaXP9v43fvNav37RNy+b
jSye+T/LSLvuXdmBuXDTbbKrcG17SzTiWmy4zmvhML9bhZ7tlr2nnfNvH192/Vff4u3T+U6EkvpN
aik11/1x3CmeuYLxdGmuLhoygN3Ng+4cDTfb2OdwPW7zG317C3JuM25Z91bzprBXjUvrzLVd6dht
801zEa4QOAXuPdPIs+xMG31n74oD1oO7bH3z8Vd/F3L59xfr3QlaUpooLaWI53JFUMi6eYHcfCtc
pO2u74Zu5OXrbF9sLr8dvW4HuW104j2i+j1JHA6bj2ckq+++c//xt3qVnb6/rW8u6PuEQrx1fW0a
fKtwZ69CZ95mG/+WiIXEgXMBW2EFZXyVbqxztVW+0EjzPv785fH9+8f/5z16t9qw1EgTGonxLM+F
Zw7DYZYSiI14pj/+nGVV+ehz3q06VkSoTj+n05kz9aofvsnjdjC+TlB0ZKJhyvXHn/brNe7P3+p9
MSnBY1X1Ku7OIeCUyb8ug6v/vw94V/Opo5UaBlSsc6IflJg+oG26H3/CJzfGXF7EN6+7lJVWbk68
aAXuWejtpfI4d9Ynd+Wz6/RucWtE2sQ9ednncbkrJAfa4x/M7X/cbj77Pd49YB3kky5vsuk89KMT
GYjXRmfOPlGBfvJ0me9WJcMPpInmHLsBQzXNRvyWtheq2jkmpv14UM49nOf/h/uj4+USCz/CXoDZ
b+8PehbVL6O2O2sAI5F7qSFNvs3Hn/HL2/PmM969NCn5sVIVauNZjzX691dZ9klX4bMPeLckzkk2
4vuv+rPMok0zOlHTTy7T6/740Yv/7jkOI4Y+fspzTG2wqhwoddvkRImAhNsJveAC2eHh46u2BK59
uNYsv/WbV0fQ/0P2GLJHPdIYzllVcWKtwOY8i+O861eXRBfzByvdgzG7sq6k1XXrLbv65VN1qe6p
2gG6eFO72hLhtPns6/1yI397dHn/5ET1IAufl05cLBu5tGo2qbbLhbNKNpr7kK/2EPIPP+SvFGf1
3XSAsvDJ6qUsy9NHN+Xdfe+lxggre+Is4fYuw/F5pRgr+5C61/bZOKqbzn1S1v4qp2O7rjflBv/4
Jyv0Z1/hlQ/35iZh95e0fCjbs3QoVrB5IWF919dEBh+6l3FbetnR3GA//xE8qc64SS4CN3755Dn5
q6D254HgP7vEu+ckITNUgwaPYHM9rjEjrqLlVLdLnNt+N+52EIdX8xnA4oOM1SBblxvzEj6m23nh
joymL3/kp//jSqkuB+O/3ZX/vO768n3fXBJLgoFMqdydK4/giY2RuuN6Xs/H6CBW34IdNCPH2pVb
mnrH0THvPAwm3KJ2k6xvIpLeyTTyXq/Qf0f3yyr1Z4t3EaT/ITRfdJn/+3+OzwmP0surgH33/X//
zx+cIn7m58QeA50KggcxsUXH+pWg+KeEhkBjW0MLoyLWxjDLTf6poYGgCGVINhXgirb8Kq/5ObG3
fjNQissm2wmiF4wS/2ZiTwDSX54kipZFvoOQhs6gDIXv1Qv15knC/SpUucr1i6RPg4MUZJV/M45J
zvlRiZLNoGm0Sk2S4qjIXWK40p1WQ2dZRlPbxAcok00KLvZBxksbp5a8XkBcjCp1IDvAfy2dEdoQ
gxpLGLNKdqyfzNmvVkgL6fgFWFaB3Nuz9aLHdMb6iaQF4IRz5hhhcMjH4RDn6Vqyema1Stxdt32z
U/rR+JKOdr5q4pBhLrDdVC62M1SRQQmuK5F3rgyj0W0UECh5Vm/bWZxtom4JXriKVOuCadUOSMMN
7P6NVDSPUmCVh9wvDlVo7+pQi3YM4x9TEF2WFN5kin4XRNa4ouxjOpSoJTLq4AkZ8061Si+W/ScY
4c+Ltw5ObEXV0vbDpgkjvrNm0mkAJ1PXcHrNwj5UKlyZpFYOSZOeK7i4gIiDU5Vpz3XYXrQEDLZL
68NuC2cuhoETabnPzMQkDaXd6jYeK1Zg4rFN4n1yoIEKfCPsicwBp/3sS49WHV5Ng+Y7YRvvuiAH
Ums2MwIeFEzWwm8XPm0ykqaQrj8lU7BBoE1HX63ndTDBOAvK8FuT0TydQNW5OWHFhHHuOV6om8xS
znmJ12hoU2qgur4v/VDz1PpHZ0zy1kgMGwQgGtGALCQgyT+ksYFba9sXVdpBmoyAnvRmdWvVFuER
9GoJ0LxKg2Zr93Agtb5w4rY0HT3I6anLwfRlyue9FWjfTWTty/TSJjhzftIIUSLA4ssoz1cV3BBs
wU9DCdO8bomxzzQ6fUNCsB1J7pk5bZNmtCGACw533fAyWugdGETjMC6Ddax036YQPCUWirXZJ98m
AslBBtZLnGJkNF97CAtHjAs4nrNuDDYtNK3UHfRJ2/D7E+YwCcQQvh4RbNRn9USRa5nEOmSsBi5C
Hhg5FXE1q2S54nMONzHyWwKL22htS3Ay4VAyHUYBFm6nXr6YeRmuJis2N4lkkYWHun+FymyvqrHq
wL5eqRU/M0eldBEHyDnMUS48ladtheGQSUQiJpnZfzTuAAbpK8aZ0d6yxnlj9vrgwSBvGa0Q0yD3
/Zr56jdLDi5gy8M7UcRJ7aqc7qx9NTUkeTdpfK6MEl2MeMD/Md3UQkqechFjXazIyVPxYgu/Lj2r
5YGsDTUB90ztrhHfOZJEjoeBd9biQLzJFHQhZi5DvRgYSpGJ4I0BBb4pTaeE2OnEBnXUYYJn+AsD
SImar3UnbQQxHbT56l1udOoiJdlLKE73IkgtBt6xQJKb118UEy4VISmD1wW9scKGyCAvNEG1k1y1
ZshFykc701sXymOcZf7abvhvh3qwNvmMKCFJmM4UGXlfjRTLG/KLCib+y/31DWZLmn+o7HCTDsM5
4o1yhrnbxwizw4HfWpY4hQREY0900TN6V4UNwjmea3RANs3BcBnAWx13iHKpxBdBusy0znI6MXrE
7Domt4Gsi4MVoJ8dSnkT6cmT3NebTmpu5qTvV2lKJCeSEy8Xyanp6mA9dQAhoeNv/LLcGl3zI1D9
0NXZPNxSSnlhQRQpyDSy26yJ06Md9pc5VxRBDWGPWcGsLiDBFe/KA6rF9aCVQHCtl7FQBOCnbI/4
CdeDGDcYon9vqvz3hLA0vv75hHDbFSCY81+cEpaf+3lKQGhLNBCkHmS2ugWR46+6PvQgi2pWw9e1
bOA/TwnWQgpZdm5Iofwny6D85ykBmz3/Ao8EJntQgvj2/4Wuz3htz785b/5uTychUSg2G/6r8+Lt
eVMgRc2kIssuiOPcY95YlmvWpoQoNwLc1r1ugNn105NWwtWAF03mOwkkUMnDTtrlKUyoQbnKBTk1
qtgPTfmcdNoTDUJ46+1pnMUxsLXtHBq8kMSVOKEZPDVTesVYJvGMLHvmjES1vjDffUBKzkzS8SGb
UvLjEkbcVtbmD4UaHjpwPsdczS6tkPfALoirm03Jqe3kq8HLqvqCCMHioqw5nZR2/Mg4jiin3Liw
dNLIlC4xWUOH6KIziu9kOhN9MIatM5Ps4UR9Inb6ZB3bltGwn92q0/gyafOJDN6v9Dpvh6kv0BsF
m8Lo8MnPhCr1xgWzqn3apsAtQv1ORewzF+2XITTWzbLpsahSa9rWpWbXB2i4eO2SczzE65Lxm9Pp
Q+TEJlmAopYebBY0QBmlK+vxMaxnHE8lPDQ7aXf5kt6doTNch4adrSVIdaOZXep9d9Q6qziX1RXJ
DOssIanKFBeoN9adOl5PAsRdHJNhVYtnVbCupNJjr/kPxJOvjQ4hld0P2D3S7Gs0dXcYDzBKwExb
iTE+Tz2Xrkq6K3n0R3KmjOy+0nbG1GBkJy+CzOzKJOxGttb+gBssQwviTF1/AzDO45+jNftr6rZV
ft/xNXxMI04SMUbVBmJnIplrYyELkKdD1XMf4hjEVCwT/lNMFjXvpF5HFt3fwf+OIR/2smHcaoVx
LYHhcaDNHu0MhgET25CNnoSQqA6vJd3fsfBpRzKmcSRU8S0kA/bAyM397CoLk+9xXt8HNkQuDuSD
E/BLbUtfEAol+RRQxRg4gMrXqsYAMDJ9Jy0imm1R584wEPQ52cgaHQsFoCzqsYmBT/di4UV0NWPJ
8THLxwI2tS3K9IiDGyBZyvEoKPDr5KNoEAXUDJGXcIl5nOjnCrs8zVN9V82AdsrOcjQ5ZjIfSRSf
o2W5yKm6VVoXB7nAkYeVcU3q92NkmEegP9d5jyzLjGyiq8Q8E1sVdyRo1sPannKeTFX5UubVjdVz
43XO3JM+n+XO/+73EmfJXr+2S+u6G3ySuEBUCt/fmRxJVjoPPcAFZE2zhf5M4CZRggS0GxvqKq4Q
k0nz9ByoM5TkhpNNyhVdtVK9b8kKkxPDExN7okgz8hgM9rtZybwpuZZQ2YWk7fbB/Eye4HPbA6sa
+9skFbjOrUskrqRMBbPmDArKVwAR94iu8lWLaDKc23U49QaqxAoplMAY0+nED+TS9Mx9nfYcoryi
xH6SwF51FUl7UcbmlMrSaUQ670XWlHscqp+xbG6nstWdwlgiM0zG1NNgmuhsi25RMd4QEFQ4VUO0
ko+NaDGv8H16IqCHjieQf/9DSaG7T/qi+UUzR0iIdF0RI9FkPBKakUX7wjTvyro6N9DAOFlpL2WJ
F4fwjCYejRUZ5ZqXDwSCGIJ0H3muj77A7JMjzc244gcw8hg/c56mrs2ftCwt1oXEGkx1wvmzh96Z
TsHWx6K5LcT0XBkRnHuWRi0BX6R2koNv6jS34UWTqhneT2xI+HxvhjgbIHoUl1UjbzC33ZbIVZEM
3YigUhzYPMyJCvM5wP1UGuFe4Zdzh0g2VsDr7iRjFo4fRwvyvY85iPJQJ43/1BvzU91W14zegm2Q
SvAoRedlLHArre1uSousljrh/qJOcS0VaeNAsMtCE/8a1ylLRekUoX3BQrfBUJEhEG1uJ3+4T5T2
oa4sFVFB96DZs7wVyiBcHNnhYaZF7UZWqJNrhW6nCCpaHfAg6ya+yQ11M5eIdPyEeiEZCV9KY3Au
duwQb6KgJ6CtVSv3vXE1NJRSj0N00EL1ihinFaSQ+1jCKgHK0BDAloy8OCslPo0yFc1Wjo0XwULv
idG+7CNQpJUm+VsJhjvYtTnyADR21IIaIYPDsSlTpuzK1hxTlt8IkPUkboi6OoToyUn26h7Mlgpa
rtp91Z57gwxvvcNVYsKunFAxpoUdbZSqJvWpjh7ENG84JcbHXGL5n6X6ZE+mtO6njuy4dgRyKFSi
Wktw9QQHgvkI9lSRkA8MQhNWoggQy02dqmy1sXgBLxGehrwFFouwWTcfYoI9NzVy9gh1LLhIEZKn
ExLogaSELLvAar0oIiiJ9Wvvt7N9IdQaBeMszeQOtdquN8NzWoeWhaZqmjbzCFYL7NdCzTfitV0x
ptfFSSmBQ+XV3vB5dLDIU8lJCIxrTb2PzJIVokdgQtLZNqy0s6Y1wTYP5Rd1kl/8KfjKlrMoxkay
xiQ3s0xXwZBHUcQrqYrCTcb02xgRFKgH4UaRiZxtffgneWA8or/vN5g1Y2/AzVcJFEmKMq+NXooc
yzQOARe7/NrKe6H514lvbiWJ+UBUmxdqOfqANzLhJKl8x+VnFxfpSznG+56w0nVZjVd1Y2xiq2lc
7Pn5Oh/lBOelXLpMFgmSrIbHvB1rLJY3OmGMRqrfZTY5yVWM225OdoNmrBGQXva8Jyt4jsBgyluz
0L6xuF62mOQccntRAxFnBM95zQIHclzDLmeL5pwTR7YyiTvOjVZZ2XF2Ydr1hAg87DwgpZNXjy3P
wxCkbkigDeVb42UjgQOoaZtVVCjPc0PAFFXPBskRi7NlnDnkPtLFOCLDM7EUSZ5AxYVqh+TkeN0P
yjXc6ANv7tbEbrKqhvCunJvSiaP0RIfm1koIgvLbg58WD3opHgc/WUj65kOjjKdihASMHZ3wADhI
QGOC+2ySc1gB6W6O9rVWn8YgWKPxStwusiifSvZoybjryv40jyQU5NHXVNP3VYJGsVGnYz9a3Raj
a+vlo3HKhJUT9MFCKIUbwo0Mt9K1bVIox0GeIduqqhPoOACM2XiIhyy7VPHduwFU0pU01IpLOMK8
6ju7RB6lqORKQqIrMTigia+3jaYAuJXjryZedMcau0uzRFZl14SMMJVpjlmFOrlSh0Mam0RVkG+c
kIy4sbMh5swJXRqbQoqY+dZopb0BvX5jhMWO/oC66OnVmDCgHr7d79OW/5ZjgiHJP5djx6L5X/8n
D17Sl+YXfVt+9M+KjAqKhi3VDnLdvyE+qIIsHRuWARxwAYP8rMi03zhEILwFvUldtjRn/6zIFLgg
FqgOUJB0WfV/Bz6jsnvT/1+6v8RJskGjN0HPacrLn7/p2saWSRsjh/rSZd5MpIQfbrTq4c2Fufy9
unvrtgI/+4tPgQ1JaYlwi+bKu/FT5dPu1Wc9PrcF77FbWDJUKVYSy/FVJfFijqxOQc/saAa8YF0Z
xk46+4eetua1XIZXaWRtFD2MeM1kerJC0h1hdSCmRYQqJWA2omS7rg9PUW9vy04c5Xm4aiblVM3F
YazVi6gO9nKcQDvug4Dzf2WvzSUYxe+QdUaK/V2MwLWNBDV13BKVDobpR4S0mAxaTNGr2u9smx7b
hHhYInKRoFxjP0gzuolhNN1WavCP2KjHxm4uMMm0OcRLRbv3UbhvzFRXvyjkh68kmEWbSE5CNMxd
VaYeQv8EYaSAV0wC+ITxiVzIHW6RFrKainB8aiZaKERb4nCxQsJX1FK17melMiDVK+mmlmZD3wiM
9nPllAKnX0W1l7WTv5JHXbqwKkU68feXbhMVlMQArwsp31h0cVyjo9cJDIQcVNOKqM60ZN/B2rAu
+bxG/aJPATEqylRQjgbUSYVZ6+NlSLA9qROTfbBrw9wDRQ+eZENoD2zRASfVCcBim3fazoKwUmMz
0Yd5a4U93WJ5aOy7orAIIM610pPQ/LpKOYb4INBXVgEauV7RezTMnem1XPMjMY/Nc0MDf5w4iU+j
xSZURTsJOrnHkJzDDI6pawj3+1ieUs8uhH0Nf0TgnSJt1ppsmDVlBhcm0dy+YNBXRQ9WpvdHbl3v
GlU0ezU+chr8bDVjOkZ7Y8Yzwrlp3qAZFU5u+9q5QfSPmL9qNobabwcth8U+Ks0VCnPhWVJ2ivL0
RO4kWp46utIKfWeFHQIfI90WUZ64gSpfNvZwg1+lvwvYUX4QC8DMIXGNYTR+FBR+egbdzK/ErSx1
68BoMUEViWdL2Tqx6ASOdEQRnn9vmvYF+czLFE/3OHHdWu33NuY/FhBwqPNGG+XTZPWuasNz0JUj
IeluUPdfZb1jNCCt00HQZsfV0E3fcnJrg+KbT4PFHYxU3YxmwJfQ+yfdYBOcDc0zmqSh4qLRKw3z
UcmUnRooJ6PsqFSSp5Lb17QqvULL9PzeWAeKte3k+Ym8KC/IfKh6crVSibxdEVMk78hJjF0x0WQ0
zUt+x2tMOejlozlgBoANS+vl6BRqBmF9vnLVpnlD8jwiXmXkYaZYSivO2pyeeMqy6WDzElFMYLes
XarYo1WqR46eDxJQhUQ3bzoluMqr8gggyOnxZGZdfxXaTCCU0lMoM7wgGIk/StBahgMy6roonKCW
z4mUfCkS8aVMsn3UJIcixanYiauZ2iAl57PAKqJrMUV3NR1m09wi76I/TWpthcK9s3XXrjmXheMI
tmHYW8U8YUHI8z25y9+zyTfRe+apOwXUe/qoJpvKLjfYGqTreZKqTybeSEr/vvLipH1NHIFbwv//
dX0PJ5E1E1lE56JKFK9P7ckz+ylxMxKRj22mDq7ZE0JbhBmk4vkFeGRzVVWJfGtRmK+KcbzuqAlo
zbiJbT7IY7shTuhHDnDCLUuEz0FMEDNTm3Ux80ynHLwLX28cTIfgQiowTqbVbkmK/Ep6dudEcXOv
QAv2egH0XciEIKS5M1ROM+5ESdOsRS4t4nqjaP1lqhSbJjO/T2l2Q/zGviNFdW7SfdUpR7MsjjgZ
7U07TAQDTtFWGanWGuiOhk/CYKjFm4Ddz23k5lqbOuGUobGXQ5v3Wg1kojgESP56vMP1p61sg7GS
MikXWjTnTmUY8IGj5NSX8zls4l0y6BudnABO3NXOzxPsFhZptZmFV5Ezvx6UxzQgsNbMlYso5XjW
ZVv2NRI5SgKgi6lZF3F9kcTpNZB1Rht5n7pGTm2glvLKr+vLSIUkl80MIus6vtMmDTzvGNGrNA9R
z8M08oBaDNaSpFoCezeixBqiiac4m9xMNRyDnufAOqQ2xffCNo9yRdsLE+13HyvIqlSqFQ1+MufS
TOykclnL2mNkGo+KTIyaTN4bkaJPU6YIJ26mBJhXcKHOunBfj/9aGVtbMn+7+0Ll7El3pD6lpNLv
Pj4k/FUW9HoQMYhMsEzCzshesN8dERh2DMC7MrJz8WWq8b7GC/LxJywCkzet58XtpVOjIqldlDCW
oDX+9qijGoCoLTsIzqkRY2a6iLpoG5XX9UBXkEYBFdDajr2PP5NR+yef+k7w0ZVJW2r0a0/yhDhV
4dQ/8Q/sio+BxtkjhOTgtJaOw1fd9V2eOP1ILHCa0yKSlahw8np+LCTzCK8GsGoWrlN7EF+tUDPd
TI7vDCsbXJTVBzPVngw/GfciBYbC05QXXjebuWeVEh72kjwGM5+mXTea6tcij0kYJI2Nqjv6Biux
RhNphC4r8OS2liE7FCk3WFFnBojJHRMxZZcFhPpM7XeGTVs2pdumrtdGg+VB0eOtKocSA2xOKOmQ
5xuANbJTEeDs1oNOGno0XithDtk66ilgAkpGm45z0/+omoFYuTLa1Zq0Zdx8O86Eg8jJXm/JEa0T
DmuRrwIaayNyijt9l8zxgYmzm0++4qpge9lgElZZ+aGXMVFHcYZBfdzkNQYtf+YJlnGKBZjjgIYV
cWaR0BZbbp36pxKnaaCbW1EYVFvBeBMa2F3GUrrtWjA4BBTKzmy2G1IUAYt3xbMRVKdazq6qMgNn
PrarRux7nejVXle3JkNLtxTiLp/CLY3s0e3r7oyRWFtiv3Z1rb2AZeqI/sJyq2uboNSO5vCZnOc1
1umjZ3w5iL85zg8aRwxl5mmjj3MZnKV1dajuhw0Oyq1xtNh6nG/KsGL4ecq/DJ9o4F7tX3//8MVK
aQDiFvY7hZcoQyun7SKdSpeYvaPilOuOyO6D9GCuZU++u5Cc40PvQeXsn/mf9Dwd5dU+WvtnCtTP
JG9/3fhYQHjbVRgSOlh8yqj3wqZJHpidizg8h/JlicQwkh/qf8la/ttnLOKqN1d7rjO4T2Easrm+
BPXWnj7RzP3ydzDR0oDNZmSmvrub2WjMDPcrNm/psrJ5H3TOnL+vUP8t36mLPyrfn5vmJf9F5c5P
/Vm527/ZTA8ozVUF4cK7OFt1+dfWH9By7swflbsmfkOghSVXl8mAIwGJh+LnLNX+jQLM4G9EdsUW
xAv0L2apQuervdnQUFyxnSk4oNh0NIDir3bNN48fS/QogSMaLiYgQAwwep8WW2cSSR1MUUhWtn9o
5wT0x4RZN7kXncBpirQ4anfljEFqpLWeHBuScmYvhgQ2e/jJc+rXIVcN/dsSSUn4QVn7swehDsEI
IM3tCLjA/mHLmWhvpqYh2oyurua7/jTPNm3OYmD2CsJTmr3KCJQZTEUyEPI+4xzG7tYFo/AyJahn
TzNFhlPHesU5JmLTyYlFyHnPvniXConRpoloI1IE8o0c4AUn7X7ajurUxT+GJfsz4JApc46PyVpR
bVvehktOKCM2EkOX7FA7IL+JJMWp96S0NlacLlA7hVDE5IxJEaNo/Wu/2DPnJZe0fY0o1atAIzM1
/GEMEoSz3PqBbkwjehNbo1nyZ6XEnFPqwXDDJRsOYUB4vbVIVIIoY4rc0mGGHQkbaclPVUCb1G62
pKrWsiQzUCK3QiyZq1atoepacljFkshqLNms5ZLSqi1tiXQkudUq85fEBA6hLqmukDO0TVO0kSe/
Zr4GJm5YvUsvE5lYMqI1Ob/jTc+qaqAmZaYeWOpL2JAkC/yJx2IJyAT8XUHlC0xIv9JXiG/B1pjT
Di45ubRhXf8wB0xs5ZJZa2bI6NyhJsk2bRVzw8Sx2dtLzq0ihfGJ75xRPZKCm+BxjTpycVEgIqBZ
snLtJTV3WPJzmyVJl7NiQtVJuu7Q4XbMZxJ3M0t9THOmJcGSxsvuyEF4oLIrlqzetuyrVbfk94rU
qK5IQiNOYkn3NZecX6YcFSl+S/ovHM50Pb8mAvdgdZolJXgUZgeIpqk8f8kQFkwNnMqP/2DL/3fZ
FMhC/rnreXr+/vIrtNTyU2+WTfZdEmHQkdiLKPQvEhRmxrQ8aXRBjzX4o58NT/M3cJg2sb+c0P9A
cv5cNo3fzEWgavED4JrUfydU1V69gP85prBsWrCWwRlAfwJ8ZS1f4u2uDX5gapRWBBc+EgdzyrAH
N+SapFN9Bnr/AJFwVUKtdOdo2pugZTd5FlDxdFtZiBdN6itnsHUOlAPxNGZ6GMmoWc12TC5jz/Iq
SVfLMXfVFmShWVl6L9uo9YiitT0tKr8JRrycsFHBdyD+Rf9kpNkPESckM3LsB4f9xbBTV6Lnck8F
JG9zit4gG3zH9PXe5WsX667jQBBJvH9CeepSmANVxNLaqBovLJCGNazPH/3QvKipTssfealnFTEJ
NnV0UyTh1Rjk2EqHe2lCz2AbQU+eNI2wRNL3OuIWtzNCroAdQvk0i6+WHn8De3OGNWngludX7Goy
sptSXEqpuuhUTkU5H+IiguxW6zKNRuXy/7J3ZsttG1G3fpXzAkhhagy3BEdRFCnJo25QsiRjbszj
05+vlT+Orfi3K+fc5iaVKpmCSALdvff+1loiTS+6tKAbklw5wHRTkFOU7Ry7GpAjj09hm2LmYjCO
zGKyvJdY4Fqnp++GYb7gWIcqWyeqp7Vy95pUyfu2QJZeGLetHJttmtvFWvOXY5z7V3E3Hasy1gMX
bSYD4eEQGQzRoxI8AN+fclX2QttqSYuLP4Pw921Wyr2PIc4G948USrWzrsjsYYaYTc/sL7jcDLER
6FIHXSxSj1xfT9tUkXXt1Mahtr0Kci4Mb2dNEuBI3uR2jihC/LzwlbrdCWQv49vS0XalyiNMXGr/
+mHWq2XXRszK8yqmpxe5Ce0Te+vifXcg+XzGbiAk4aEmhNGV7op2wlPnx0hFXBZF/J+LTS6pKaYi
fMjd8eBETXXCDHVe80vnNcbV+DjJaa0vhKiHRrcZpNNemWatpo3x2oV0XqeT4IbscTnUW9vaNzhG
BVG/PGHvZK2qtqerodn5Ks2kH/Rh6e6T1ESoMXsnWFh/7U3OS1MNhBf6xo0cOxlYHbcyrbBpHQ1J
vq0i2vmG5twT7v4wuBkzRVpPOMW6+b5rJ6Ieo/Fem8P2ENIsc21LrsYCw0RwbhDXfuA29t0L/rPT
qrZze68V4rOfml9oEu1cbUL3PLUnrUDhHWkeWY4jyFhcf5l9e+bLx7VoLVvfuYXA6OwrY2EUQV9D
0OibmrlYWeNLPscfp4hn3sTAlZ5zD/7jTtvZ6qyLOxafR1khFfUSziRt11OlzR8m2pQ0lOAmsQzC
4dvP1tgYzEGWlR+9sh93Y461Y1KC7jYJeEscOUfGl/Wq9mJmyUK+W8rw3DjVdT/57bov5dekq+9N
Kz5I0zvix3u7dOlxWZgo02+MNcyUUlDrcmZXJECeTb2x7/TSGYj2rodtPRlHz6JZTg/tQPCoiUCU
P9yP9u1oHzlhfHVwDG4zFGglU8VSYStkszyaqjauFdJST91IXofCXOBdvCmawh40rOs+yghAajvF
lb0EsdaU9xamGh/oAI40dE18vRwd1GxvJZ54iLJSXHUACNElj/LIO3S1Zj+EWKqGp1RA+xfQZOve
Dz8aNHQ3YjK5NUIStkPul71dIqIfU1jWkftuIyp6pdyFn3u7x6aNUxTTlT3zZOU3AWM6JpEEwQtv
vWU5T7KHo8NnLkBhcMkRlb/vyUfbFFXC8pTlJvhu+jVq3NvGgeXXRrGdk7baEwWcB27l3tEapw07
fKhFuWx5inde2HxYfKxfan25+HZy7DMk9/A0j4by6SvlCExX3BnM5YOuC9t9nWuQXm14njPdDOaO
yGONkDxIgNHIDrKkv9Za8tEth5g0nL4JkNpeJ1n6xfRGVoPpywSYI+u5Wi0ezl+2zXOYc0LEE+Cd
Pl0DXK2LbO/Bh8tlR5Nqpw3eOTJEAoyRfnWsmJC/jj6kRbJonmwM6lwG6xiF5EMNyl0AGC3WhEce
q19TFNFWWtinzTOqotRMNl05ob6yi5016EZQjBycTIb/SSo4vjfudVjVl7IFz8AxnyEdYHwdmzc2
JmNrEWlb3C6I6XXlh8wpL2VR32hOKOHrGHh7w1M6OvFunPLjWE2YrE3M6YkLFjVmBlVynkVZoJx3
rqowBNJOq22CZ1DVeg8MQZOdpRN742glJmgIPqSVYJBIc1LOeCnQ0Xf9zAKptl+cwW+248Jia3nd
MS2oLlA2OPzDaUvszZUNNhj0SQwk37gH33FZn5FUZANOVlpyn4fFY91jHcaxMusY8Zfah8ziq9bh
SZq+7Fhuhm1hRC+p7+8F2Telxk/DyvsKDPJctcaxMOPd6zHqv/Okaoj+6jzZJOBNj/8sxNXrvjtR
WkrCRDwYLsKwyz+cKAmltAiOUBW6Swfl7wMldr6GgVXRn1kYHPP+OlC6lOgWLsSMom0bjORfRYdB
Q7+tw+k20QvixGsxzjdfvUa/q8NTDAJNdzHjc6HD+Z9isxMPk6HH3kE0UkYXDNHF1dLXzoMT2yN9
Ik0ibhknbfzcLG77wY/t8t73E7EEqdWP5daSbvextXq87fD3cTdOnCKtAFacFLU4KX4xVySjOTkX
jwQDHOTOvUId8/kRuvHRVAwkPVen9YoNuQc7U4GS5qyQSdjJaSASHZaShieRhgqvjJqhDSJ9fswU
elmPQJjMz1o6nICZs0I0fVjNXA6ApRL2RPS49ERNg6qefOjCubMhPYvEMdaZxcAmxJ3FazDNggqt
oUMrKNHYS8FFFTgqFUJKZ2DZeQorZbzM0AbSNIU4HSBPTQjUzJH5NcnPxz7O2IpD/NTtFqLVbiJE
MWPlYUCY3Q119b62l+pkwcisFslC2ChtUkNu+mq0lZxFobGdxYx5klF+LalJF/hZS4G0rQFE1evN
y9I2M+KRKd94bb9Hnr7T4XANdrDKdVM2CT8grxpeFWaX5QHJj+JvagX0RoMn9onk/+xhAoz1yw8S
/pel6taz47VX5U9GFr9zFCjcdal9HcIOI7u5TRRMPCisGOkbbpyEUUTgIwHm/3exYpAbwhVpT0OP
y+PC9L1SuDK5muwKEpiUk1gKAjQdJe5FnT6ieyrlLlfgs2n3S9DBQqPD+ZAqONpRmDS72QbvMkUI
joGmUOoYptqugat7dVBGtg5x3diHTiHYTMknsMoe20nwbGHFN1IB27VCt1MY7mZOv4QK6nZiWDEB
5+023kfH9D65YRSYcOB5gf59Un+GPtxps7etw+WcQ45TIGz98MLNWpKl2V/nfnZZZuchUci5VPB5
MyUc8BSQrkOmdw63nQGrXsJHYXbIH655HzWXKqVTYLuRwtBpjUoXz25EVZwtGHjbdy5DyzmxU3h8
5NpbzaofbLj5WJjvCwXSOxD1FWT9nIwWDab+qPlMQoea7RcKH/EUqP90apz+xYTSb6H1Dde5ThW+
ryuQv8t9yDMF99NeeM4V7m8u9Fa8KUdDgxaAN++sujH+VCuZgKEXZxPdAN3/LVb2XzQtDDwlLHCV
xKBAa6AyhNn24qOrZAgQ+JiNKmmCpsv8qOWArOJVuKAkDC5aBpo12aZD3WC04adcyR3oWdJ8Yxro
e8t1jiKiNzAPRSExOsVjh2JiEVwUBUVagSSG/iFGWdHm+s5GaWEpyUWC9qJXIgxYYbmdYYJtUyXl
GEgSUWz4fWcdE6ORtyRehe3VNBhqzi0HfC6x3vX9GvAg9T4iZCFJriywHK4Z+m7rXMcyqUV2Ecmy
XFeTbV6m2b6ivW3cxDxYAd+5IC4ZTbYYSAfjHDt9XGoZ3TWGkR9TQuJ2HR/BZsy1fG8g+VpBKroW
cXVhpK8Gp4v3nWbR1mPQhHtgpRvIF0j1+2+bfnX4N2lT/2KbfpHP5VPys8QV9cK/9mkkyh4qXzo1
ZGkyx+VH3yTK9h80hfCox9VItwHXvm3Utv4HTDWG3D5NZYzDlS7pr42aCCzmNzrhoEqT9C+a5cLh
t3zXLGf+owsLw3MP73K6Uv7b6a+LCNej76ydYUGh3lk1dXt5CUegpUzkzqq3yOSElm/mqMh3elI1
dz5SpVvTHTQwX7eU7l1E9egBxs7Wum+N5iPFojs/CY1104mxqjaV3i+tlQbQ9MDN25H/4+ywcz29
wTEfrSBBAdNmqDR/2yAklFWmP0U12sLaxGS0VHrDsUf5OCgNYlfyby2lS8RYtnmoXrWKSrW4EAF+
NUr3Kk0bazXSJRcxZVOL2LE3+y/FhAXwoHSQuVJE5kgjPSSSs9JKFq7YsEAMN57SURZNGm18pa1s
ZoS9s9JbNhmjTcLMV9bsZxuPjXplKn3mAitiEpV4SVuEH3LusOxTek7D+JjYuPm2mPgkdRSvkZHd
kuYiVyjCT7PO0cVjaRxpfrXJuHU8SlG7y7uVp7SkrlKVdkQaX8lXpanSnFK+6pv2VYjacGBgQUWd
OlTAX3wt2tlW2lWBiDXtMNnuEvuqVvrWbCin24Vleycx6bqdkMFieBvvfaWMDV9FstmyJFu2ABTa
gSVzdOZKTtsoYe3yqrGdJhQSdCxQ3qYxcQkrQhXCe0xDq92QppW+4caWB9kMBLO0aGJDR/NOiU0c
2YqYmxNxma0nT0bdh7dGH3/OYyFWsXQeowZgY2ypTg3b/5wZXbQJu+orx4wi6LToOg8RJnjpfM7p
dgTxXHyNF7FmUt6dccGfgwIn/8BuPLJzJIZ+2uAcmqF2r0wI6GBI5/s4BfnHN3dnx/zHbyi3J4F1
jz2Ppr/CuXfkD+jMntTTZhhN+zSISruaLRclNOOFixAtZWxDm0DHYFlYgYm9+rpK8+6adAZ6ftxo
Z3rssOS1IL3VZhHXSlzwG+b3jGH6HVFxD/kAC6lPBrbqU3s1ToVFmkxkbIUdejdo/Lda4T+bWnvt
pMVt2ffvQ806tZUL6mFq1c2MUdbBdBrVvltQPeACW3Qix9w2DDee99Jp0zHJYWJs93qOCRhy03hX
I5ByKOV5z2cUONcC+16sso/CSK6LmEIw6UV4kh69ncKprG0fR0jHpohonvzQpOisar4kL+YsMCZw
ISne6DSIHqN+5Al0kvM0lMgrMLhdad1QoPGoA8PJD34nNl7TPBYNcw2AMQS4Xx03YWkptpzqt1VW
B/rQllBx+l3V4llfpQeX+DqfUKSRRNZV3IFGUCu/90hH4tD23hl0D7jeLx1a075zFXrL16o27sTS
H9zeW1tFsXG6ySIobjoKLQsY6z3GyFGcBrNRVDWrVHiXFodvrzSf/YxnuMitl86f72xtwiStrk5z
vZBhZgcV3zFMD7J6QCjgpWBYdCjxsHhisvJuVPejkaUHHLQvSzmdC4/+RIofyFTu3aIMWEg5WAjs
geR0M9dzYIK5ybBfa2h8SFHZcVjck8sVFFW6d9ppqwmFh5nJk+Nh16tVew2lexbjVV+VZ1np3kbq
5Q4LHWCcPrqYHcLrIdpPKIuKUrumL7yd84S63VzNuDnVPCLMbAOcM9e2rwdhl780+UuJE/MEO5t6
OioOZ5WM8pOgM9guxNnZXKNr8Gk0z/Si79vO2VK20NSY7uzJf5enC9kHOcLrctR3hY2Pf+hzB4aa
EjhtPb/4OjOKZ4Xb0jgP2thbOx6WAFEbHyyDweTSfNKNjiOWd+841Scvbu+igbTK4lmSNVnrOqDr
ZKxcS0kW8YILZxVou4n1OYis+BZP4FM5WHccNr8aWrcyG32lj5z0dX2v+cPea7WtHuf3qSivO2G8
p7TBPdRvV46olBHzsdX7LY/iTet7W8Nqr6xw5oL1Bk9+zD9luy5rdFEUsE9jX37iVzEpILplbm2i
ntKYdPgYZaUcH1vZBtLTjsTGHxbNhVLGJnVoMryc2STiKqwDpgMZ+cHuzuyGjwgIHzrsKubKPTDk
YVSJbUTZNXu8Vw/6VFCaCR+sb/g0NvrHsknvSKmm8TVx2uz57PwNDjR7txPcnS5hNcOtLPNjBYo3
aP19nrh7bwrPobUcpF1cDaFxikswGtkn2yKfL6TK00NCsjd6t2njX1vG9LnCyAaRTI/Drfc+bJzb
tmnPshV3mC/oK89o73sh1kNF57ZZqNtEfp2LiCS/Wl+NjDQatVAt5ac5645mI3ZVhXd1N1KfYyk1
qkOPpLMl3zfVfGWY5VEz7fishXr4hdF7ft8yigwWs7tqmA0s4xgMmJNoWvpMg/h92hU0n+AJV77b
fSY2moqNgIESE47EeHYKjWCB+lPWxAfdNM6st4x8VbbC2B7Folik3M2CRTc+x6Kttr6VvSsawprr
KdtllnEhniylmq1WkoiSLQTDPswc9I5asUmIzxhA7d1ojAJjNtdZDr4Yywt97l0aTleTnJ8rDTS7
TR87MjpVqBBPAOlnWLZt+j7aNLEmA7rxdM76oMjZJPBP2Q+aR5I55tiJvosGd5vo00aWSvuFHhFs
YNlOhTzOHeanHdnRdIiRZlWBbKnPkizQ4lG7kqbNvU6rD4lMY5SHXOtOCy2Stqmeek+Rpq1PltB0
Gmx6qoXO9vfdkfYnMoU3tM3rCZHmjsPoQcFLb4mhbmyapk+kdtYLZh/ZqkRPSg/x1xdRGOPfw8c/
j6HwUYahWzhNWOab4SNjO91hcqqdJ+IomB/0n6cS64V1AUHw6yv97MD7/ZXeAJVlWM7GEnIl07uJ
bcol19gsy6FEgdg/JKUT/PpyP/30eJoQeFAMMjL7capqMg7x0GRFl0F76PpjHT3J/OnXl/jZO+K0
zGGZy1j228FtiD+37s9VfBnsIB13/Txv8pjeb4T+l7qvu/n15X7yjmxMzmkSckuYeCT9+I7UCM2c
9S65EH+2wtx61Ue7KvvNe/oRe329H364yBs8tA21TjghF0nppnXNderH6/+/t6He5nfdyaFbaIFg
FHNhZOgAEmflu5Dx468v8oatVc/OD2/jzbdfZXNWDUWbXCZC3wGx/eRiYxbiu58Fzb32bPbtb674
s2+H0TXeNwLPChitH99WlngkN6dGcnHrW8IQEdAe3PDrr9/Vz64ByeWQEsp9YLyF50NhaY43NOkF
T/tN4eA9UwZj/v7XF/nZR2cB+dE9NiyXMKof30g5xq6bJFPK9/NZOtcxlWLKYuCH92l/tJkljuHt
r6+o7qk3axBL3N9XfPNlgRwjUTBmRvQT8Gr7EeOw3ywGbxwYFd0mDBf+Tbl8ODyvbxaftrTBrCaj
uKTXzaE7sHmeMIfaiNv4TgRo5be/d/f76Zf13bt6c0ngi2KCHEovgwOTTO/R9FkUyv3/y2dHo19n
5xR/+pt89zShUXfcDvD6EtYo95nGet1vPjv16b/9dkBnuNt88jfctzd2RdIggIqWXlxKXxLgOW0+
JDYpH2n6m/fys0/s+yu9WeBgvcuGlmZ6McRL7N2K8L5efrO8/fwSxDoaPhpH4Mcfb+7EyAbPXqLs
IuVZAANPibkye+c3W93PHiFutm9XefPVZ80Qd3PEVZLsCYMAcio2jU3eTh9k3UXLdrn4zXf0j7cF
cUlwL3Z8bEVEsLxxTSQgGjm5W+aXbtjVzcPobOrl7l/eaG8uQS/t+2VbDhEfaFznl3GRK0PDWSMV
v/nY/rEOvF5C4VbIQH36bD9eIp2mQsuptC5t/qQtB4YEv7nAP25lLsD0TfCc0HgDxf7xAiyd7mhI
nHc55xU9zFR6SFAPSv/l9bP6b3hqcaf/711Z4h7/z+mxeyn/OT1VL/yuK6tzkzq4PdoEPKs0pW9d
WfMPYRr0Vl2f4+hrCuTf41PYOFN1Sx029x8EyIxPuWFo2RLQhA753wmQf7wJlW2kxxzWI2vSZS83
9Tf3eduPPUKReTzr5aWhHCZN5zcnhX+uDhzgHK7EO2R7td/chVDMRE+7BNu1dnqVuB80/eyL29be
G+FlHG5aY/Pdl/CTOoKeNff1j0v4j1dUf9F3m4Q5IQ8jq7E/pxX5DjQ8OzTDwKrKSaRsb8em9K6G
TlSkc4gQYefWSecagz8ikDZd0bmbNJLOw2T65gHcQ0lPKyJR2hIzPC/GdSj/ID3Gv1WjPw9a9hUM
/JN6ykrgCBrVNi2UCKcAuAlBDzb2Ng1JkRyTk2hv4xeNH1ayFeQObKMKX5dwnojTmeh9uU1PY3fh
ABKayb02MmTtkztvGI5M4BkQJuhm65BvCQK6CD1kwGO3xkpkNRPPFRIhu6Kft0fOfBli3P1I1ZG6
IvzS6Fj6QB2W9r7RAKAH+TAs1mVy4/3gLu3G6Nod8qadXXlXMarrVeyUI5Z7TbsDFTuRw7Lcu51O
B64RcyvvySJ39k6NJ4SBu2gNrtjdLhX2TeS+Nbhy5ZF93emGeyOLRext4hfxOLLqL0xPrxmFnsDp
ris3OUzZeGr8kECq7AYXko9G7uNEpSHwZti/bWhW2UJ/ZrAmNqOwT1NlX4U4/wxZdd2F+AT28wEf
lYuO9FqG9TqZiM2cp2uK1XLdLciOIzEe20H/SNdqY9sl5bBc3ot8ilaAWXTLe3mRWbfrvfEmW7Ir
vUQBOVVIkbOOvb+ePJxJh0yni5tv2tR9X3czh0NNj7ZmUfWHvh+7XR6iRPaSer5mnkoF7pn4fz37
2ni2Y++u7RvgoJhuexwT11AVV2GeXHqp3Y+DpJ/D14Lp04ZBPOBQ9+zGiIINJ701o3Hj90WPjtVY
+6azttP5lvkkKRPVEDijvRubYavD/XeOR0qVDhdX3jOBvxRhDSA7tRCweTbcTXN854TGoRl7puHe
JzuTweSK5h3xORamHs1XaTE8DH1AS1L9lpBoMN0OODe86CPGrT0WG7aBRY3rHxAhgvxYjLG1EUYs
usTJcLJRn9Wi2E26wB4H84ApPLYtXX3wv3bpcDTUbjhorc1RO+iWgytm1IHj0ua27JBBrPXBBmgy
eUKCOpNYaIkcr89R0BzOJaZcESmQs3aVtcu7tgKImvMO55byPoWETdOB2zrET7T3zEe/Tx8BA05l
nQNp4E8UjIAFwIRjEYhw8P48vf236Znmd+vtP4ySTy/N08vzP3c89apvOx4jRcH+JBA8Y7Xt8qNv
O57xh2mDEfkMATmqfzeHtP7pdPhtDgmBbmORwWNvAQ7gtfxvZpFg6z/sD+xEBBs7tElQD9EoYRH5
cX+wNJMBQJ1lZ0O3u+bK75JKxxewsDWo0swdqTVBWIK+Tutbw8WqBncLxGZ7DML1MN1JhR6ruUvn
fWCUUa2qZHhnWHZz1CdiSj+FikZ0OtxvZ7o1QfGKKqokRYQy+8oUaF0BGstsPk8a1lEkJT+GnN6w
gcqOFRCkdHDCccEiJ/DISnGSvTd9ABl/dgAoK6vkF1hLtY8msR2wBWSJ9W87sMuhbEycuQoGJ4rJ
rMYuex+CaWq2BZGizyjzJ+PsgXKORYqeU9GdkeI8p8bbD06FLiQb96FjfrYVEzqWc78ZFCdakhew
YWtP95VV4POAYQXkRQj2Wcef+qzu1lJU2S7KGPgvavRvKQigf+UBRoUGkKtM37d+JQZMBQ9MCiOI
Y73aZAotaBVkgHt1dOcq8MBRCEKpYASCz8U5UYBCZIAqzDALtYIXYoUxSAU0OLXb7RoFOcSvvMOg
0AcTBiJUMIRUWATWwGziCpXoXqmJVAEUoUIpvKqh3Vn4cxvxN8g6ubJdzTEOfsY4dWvicTbMbmZ8
MWrLXvccJtw6TU/x0LPseAgJyMqL8dJdkbi21UVxa+MpOwbY/mEy3WQvqBY+1m12Xerg7NjO7XJo
1cAVgn1PO7WYTKziIlkLnMSmWF5VZvPZ1LLrdMQspDaxpozicdPF3pMNFIofFTvqBH8bd24G4z8n
5sayBgt/ZBGnywk5nFzp2bjJKrVQ20PIKDc+9EXIehjSap8c09sUS/S0TNQaoU7aTOUzFiwV1CN8
GTPjFE+MWxtFFGUBmrR2bcXTpje6tVvM76Opm0jFloLhECG088y8Gpfvm84Zi7WnC4BfQgEBOSOA
bf4lBsyrmPmCS9cwyHSl8hA+jvaLjV8Xu8dan/QbV4yIhBvo+LnC70LXu6OTTEPA6NEkkKvVkIuZ
D85EQnQ4l/ejO9G5n0ea0bJ1ca6kVwMTvQJ7IGvIdV+KMHrOS5g5nq6gS8l0SKnme8HmMg9MgPXe
Dfp2JmDOYNRJl97fetz6umFHa6k3HcbloqN/ob1aOiapW2ZXsu3Kd6/L5n/7h/LA+HXRtE5eop8V
Tbzwry3EcP6gaMI3hW3kFT/5ewsx3D+Ej1MA0KnvKd+mbyiLZf3B4k4ZQ29AKUfZJ75tIVRasC1K
hkgDWygx57/AWVi832whLr/MpHS3XJtYU1oRP24hmKnFLcc664SlGkbOZAt3RDH2jsiuigRA0gyM
YXFZdmy9MoHBJb48fUkyViyja6tP3ccsVhIO0lH0+gFvWMO4jEbLyCYd5grpzSD9M1bxy1Vk9Xly
4OhpvgOw0cTBaPVGW/m+1p2L0AqvstnRUWdkWWrcJ66f26TdLXn75GONxwHbqpAtVzA1A0znSzjU
ybqUSQ+EY3s9qGXqGRj4eclw19Vzd7DJPSasb4mzZRPqc/+w2Pgfse7F+tFEUYC+oubAJeUYb+KJ
YXxTN92m1+fkKLoZwDLEnBEzptB/7FsZ+7iQhCPG5TYq/0zG/SU2xSMWDA9uFj2lDsoa14ZCrRzx
UnXFi4OHEPhNUdvPTOgCjKoCs47GA2WR2HaZ1tPsiZCSmnqSBGOGsYjnYyDRJZ330dCSau1nY/g0
Jc6wRwRgHlDCxtfwwcU+Mxr3xq376bBUVb2zBT71zbCQHZ4Rzii8CvOBhuO3P6ChiNtq7XQes8Y2
XHtdcfR6nwZq2LinWYjlkNmoRPGt4rSMq7ib1MWqiUzS6zF9D0rSjzAjydaV57+AoWo7b1j2ueGf
rTRxdphfEn9FvtMqChtbqSY/2Uxs19m44GGCnRQuSggy0Gx1WNrfZNbUQRzEU+DnigklKXiT4iJy
1qMso0oU1h0eWfIl1e3mqqgT+TEdGJ7jE8Lce0j/NBn4b9VSkT3/+6p1wriF1uvbfBD1om8rllKr
e0zg1IESzo4ffXfoVb0PpgsI0xVj923FQq1Okxm3FaFaPFgmfFuwXnXsFoY0BE3RCNJJjvkXC5at
2jh/t0RYFW113HV8mk38rj8d4r5ridRljSojTuNL3QOp7OtXTbhwzwZiYzbp6FUwnv2pHu8rNL3o
CJWsfMZoo9l6r3Lz8VV6PnrtHoG1FT5i0ZQS6TnKXDvyptvwyoCDMjbRomnRhUoTF1K0ZDEVq9Gb
E+3nRSw5seutHyqJs3QJtx9mB40XZzEf9qaZ6TXgBpPU8d5F/lSv8lRoK2vC+mxfRw0er7JoObnW
Y96cIxRaTAUt3H03kYdKa5V5Dhq8rtdeROJ3u/827Ff2VIUS/e+3/l0yvDRt8vzyz9tfvfDb7W//
YaPAoLijxfkqBPnr7me/pv9nUnP5XM7Xqcb+anICpVICIivB257N+XuXResPGtdUj3jX/Q+V+i9u
/9ch3ve3P9u1o9wche84poXb44/bdWxKsJbeMk9NWdeVe63loDSob229LfS1b6fZ2e9NK8NGNTSw
+B37ZWvMs4FrdEcBAiGWn/uy1pBMTtpBCGmd+kyb16PZyiPdk+J+thCq9ZNdXcukK584DYxXZjFm
97YxgsOXqS+DbnJfaO3Z+9L2wi0+W8qbB1z1IdZ13QcrRN/YjBV7Sr7LTGNcL7nEImFwiGCxkuXO
bJ2kh/2h/pQzBqm651NuOfV6MrHDxRygCBLSDy9F0YfvTEbZdz1ZEvG9noosInHMNeqF3S8OcaCD
IkakZrgyMrkgGgHIrsGwDRzr5tEjyJp29XDbNIY3EuXbmPY6XADkbkCr0k0hkjp9r6UL2c71kLku
pYJTEx/fWGg9xcDILOt762APWEMsKNHXLhutgnW8rsINSYp4rQ+NL45DRVY2dnAOtWeMJI/FsAWw
rLFLDuZEWha+vliAESTv+utyse8Wox1IMh+wxyrd9KlL8/iqwrxpOQnI3wN5w5xk8BgytnMj5GIF
MTfmeCr8fJbafysC2VEWJ2ie0f99Rbh5rB7/uRio1/y1GACi89ziNEDWBdIs1Rv6azXgR8zzaT4z
u1NYB735v1YD7w/2Tg7VLouEQQefV/0NohsCgxW8jf6nIPg3myGZXG93QyoErFtUogbNU97xj8tB
U7cF5z9zOVdVC9BldqTu+RSSlZjfG2lN25uSezTqNX79X7DTRxtD01if7GMrwnxdZ9p7n9x4Xcwn
sXBmF0CnJB52Kz1Kzg5i7Dn0LnoeGUHCzrepARqzyT+Nlrgui3LnRf6+T81zqksbF/4lC5qIdC2q
6HtHlP0WpciL5kh8TXAqzgY7OrkOllgajiErrxabGYWbkgLtCDU/6GIkzt70PhAfdWnN/CzoZ636
RpIAbg05OtF5F05IN2fh3+ZpdB/RGZVCWcYL2PAoL3V2eftlLKP0tCx99Sg7rjOLYbdoTRRYGCXQ
EtkXGnbcuMc0ayYN8abzE72DQ62ueg6iG7OifdybPKRZXJM/Iagp8i8RXnIdaApyqXZHMhCsGeOR
3bSg+3Z1zEHHbI9Ejxihzg9q8uwbOzcOWJ4eLT1PrgwsEUI5+5jv6VUQZpgRZNhE+qNzXxuJs529
pgs0BLuY7TU2qzQTj7FnuVoYJIiWHjIdQIY8FrS57IK2Cx/ayHuXanCRCaMSew5fGDJLYp4m6gin
WLciRY5bomHTbJbpOCRDMiv0d7MH6OlO4lBIZP52VN3RsNpDq7tBLICPo6WtgzJpQ6a4g47WCMsX
gra3iURgvcSYw9chNjYiyp4IWwCsrA0aHNpi3vm14XEuyjaxQIKLOUa81ujebYdRBbHlKpMtQ+F7
cFROG6cc7PU1LztUhLhNKs1twPiYmAs33XUl6SH7hiD28N7DNeHKcOLnSCuJdgoz/4p1H61W3hya
OnrX6rgE6R1u8VrVBUXnbNq4F5vBk2tvkOVRes2pbYuv5UTug72MdDaHT1U7uzjlJB96s8YrgzC8
YAirT8i89A3ZZNe9nK6LgulB46Xo6j2MLUqitkZxkovHI6F96EZDD2wMaVOTzpET2WeXxlvPYi0S
GpLoBsoVrbdd6prXuYOOQ/e7h6UKz4OevfenmDE2+r3IrMVuQE/NAKpONk1attsklvg1Zqc40rBi
j+INDYKTzP19p+q80dWekzB5jxafglsjrDs19WcrqT4MmbfWkMKtGpQ1j0MjNpqhfSb9CjS8807W
hFDRmJ3s1snsB/CWY2u4zwzNjjPjw8Ww8ZZfqOFKcZ7K0jzJpiDDrs43FbbzFrbw/5e981iO5Giz
7KuM9T5oocViNhmRGpkJrTZhQAEVWmt/+jmOmvpZZLPZxj3XJEqgkP6pe88FKKmSBxHfjpE6rLJk
IejqPlPW5uIe64T0sBESWxgnLeFhyn0y4rHss/wGY4vi61X7Uis9xswh9IkFuI4tjBO20QfGBI8j
SdeKYu+EdLn0YYrcvUWhSU73Ko+9EwFgyN2zCz04kz7/6jr61dEh+ywrxKtnj/2mLyClMwtYrMFy
JY38fmyuhknsvTp5x9oAE0jTcPxNHhvu9K7PrXevRac8zDCbysZ5jBQwFFoR8iGuYjaecc9CmLeQ
SLt83nYliIsfmsB/x0+dmfB/rrin6i+tX3zNz4pLk42alSuBpaO3/xoxf1ZcIqlsFl4qSmbYZ3Lz
9UvFdUCYYe0GCeQYbMZ+r7jOb1Rptmwwf/65yICP/p8rrsvRxcZGxuVFCg3+1IB3ArXTYA32OTJK
cdWwvKsR+rsEQQTKHI1CrEQ46CMfFTvO2biEToV3qeD1HJL0y6uh5id3SNQCZX7E7xH5HcAwE+X9
wNJ9HYGRxvEkOBxyuOjxMDxNA7CSQKiRyfU9gxte7zuzlbEEo2XPN+zgADjEShVtuIcSaDWXTzr3
chbnxq6XLuuuG3vaW1iuwEUK5KdKtwkH9T4tmSNKG3x4AWV6UW/LhY25ps2ktIY1OJziWDbhlTbN
jwtsTZjlOIzrutgO9R5XLrU1Yt+c2CkpGU4PX2Z2YIK4iLKHUHCen8VT4XjXGj05JBpjpQxdtqpn
pOAI/epgKtxDi1Bcl8v4ZBifewxDK+L0jkWiWtg1luuuKpfNZI+gaQcP6OXY9L7hiDnIeoT5kFDF
erFabDeqvoZNvQQQlrkau+OHYs5H+BrwG7B++UWofcxzXfmD1W2gtu8SC+tFoeVXqavXftK2j4MF
xyZtiEMZ0HuNCRt2URl3Co7kxhlIFM5Cv1CKAkJLWO+RJUar2azOqV7dgkrzEXIdE1aD8cz7P+IX
1pxmvQz5u7nU2MfjMegNzHR5FuSxqfgjsScm8SdtTQ4KdHJkDjIbpc2rbOPKvBTF6E+FTFDJZJYK
MJqtFkVPA553hLfkrRgyeUWxI9QPIIRNr/e1pj+MAykjjdo+RTK6RRDwzux310fz2p650KWztsvK
9DYqx6vEMoJMxsDYMhAmlNEwtQyJaQnl8FVyY7iCOGu3MT4rGSmjyXAZi5QZS8bNxOTOlEb2gLLx
sSBrpKqbixLX+D9kco35lWFDmE2aF4+TQ4PGknFQjRdVxt04nMnGKb+bM2sPK2ZZ2dIkFH+F5Mi4
HCGDc2BCE/skw3TiaXoq2UkFKTk7M3k7Grk7ZsfBCvbflsXsJe0sX0nxqFk9SBSsKdCdJn9wspoG
l+nKhThikPATpgIxvgz9qZZoH8kYoIY8oIFcICxOr40MCpqTJSWfhPAglo8aCVfDw5hgANIyQPcV
WUOKUh3YBbzRCdB4RMQR6eQSISzeJDKniLwixaiuJzWZ0CgadybiqMCNVcBBs3KOSDtKnFrxDfKP
5iTH8OiUWzJN34pIzDvST3eDDE1SYuKTShmkxJWy2vRkK6UyZGmR8P1cBi956gKIiiymSCWUKbGz
TSFjmkKdwCaiIGzCSKZN3i0XTTMxNKH9qUh5AkPwgHknPrQyAMrW5s8s8W5TE5yhbdQhjhDiojqx
fJ9GqAGjjJIKI930kbCi4ekkO11GTpF4dwcimB8dbt3k0ynQseqESBGEI75Zxbssmt/smCyr3pZN
se1hBW9OGklXGbazAKUIc4qEC1lQhkCTfm+hDkUVcVeieim/cERwiRwJKKohFaktyCJ3VuCWDSAi
Zt3cR4AUV0IijjQ9PWkwjxbYRwsMJOIpcO+ExyJP93Hf3IVx872X0CSQX1cLFCVbqe9riVUyFq6u
qkQteRK61Er8EnTDtSOBTClkplIimhwJa8q7kLQi8E2TBDkl4/ToSbTTUMFiHCXuiSTVl1kCoGYm
AlYGqiQT0uHPOpQueFH69DlJfBQpxMm6XMxjbBcv88J3VPOwJk29Dvm+evxK4DQ65VE3kdJGTEdL
5uD8MfA/ddU3TzdfRat+HzV+GCAD3Nct/2DAeo3AyhE/aVHZbJrCuR4BwZHDqXH7mxRCKMYzNr9b
/qq4guOLIPF0Y5mSWzwq+koAR3MYp4PYVfdDleE9DN15b07WnV6Hz7ED7LzNk89iwhwVmhMQBbSk
uy4bH4wSMDl2CoH/sB0ZLb6ag3+7JIMG5X/ukqQe81DhQUz+Aiwrv/Rns6Srv3GzQwIht5Lalwjl
Z7OkawR22+y2WEJwk5Kom9/XEzjh6bEMNhdEqfwKlqVZIhHmxy/2tfz8B7tKqCL/rVfifoBelJaN
1QXKlz9uJ/DfFBihl/ayYDSmX9EpzjTcpZsyBcblJTHtE3u++GxbxMcSQHLTLEDxRaTeGqF5m7XD
Z6VyQ5zneI9F9Rg72mY0hqsMFYUyikNeEuddagGea7IZzPmdM/6VCupiZQzFmQ3vJoycqy5WNtWi
3EDlfnCW8sniDOWGDQctF3+Yy2ha7jPqUsyyH/u9sbfc+LFdYJuY6g20r/OwJAG5y2cyoXo4h/OV
jSffajUCoqIHq+HAzt9onbfTu5f0p9AjVrc1Xo2IS2XfH8rQZg/iHUezOYdxfPaIzvIA70RxfR5w
qRoVNPBZf3JMaxdrxIIvy0rJCN7UUnDN2ho6b9B0IojV8cVLuus4Hk7RtPgjqFVzIss3t88tWRSZ
971rPSmbmQY/HoaD8Nw3WKj0Z+YTArO90nkBlFpeAbFV0jQgpmFl1y3w3YXJbU4uEmKOaCjQUvvB
6oqdWLrbwu3fS30+K255Zt16NdoyWHI4EC29GxpWCVH93UlrugLaJTggRmTeOrFTkwRQ73qnxCea
T6dscBRwtTDEw+zNqEzCHG0/TkImvMG5DEp/FelFIKJx32LW7BzlNvUIclDDR1OKNTxjbYOnWTUx
jUpGdxqHagO5pDklbg4JYCLcLIemGFSJ/eaMXrutmxnsrTX40Vw/6Ton0WKa3yHWeBISy6V6/YNW
HHZum+5Yacd7OPFtejGFQJWRmnZpbHE7MdeCYwnGudtbSqVuq4awIMWtb7Oqrw8lfmm/azLS0wj1
O82WGINxQUVDAAzzPxvpgH1ueqtrOmtwlILIMXZpqXUBCzFMxIkm/BJ+kU9APF7jmo6xd9WU1mUy
d+GIOqWzl7vEXJoAiOO8Cg3qvBgwPNJv6asp6h5YHKE5sQdig3L9huhIBgWoxhZYNE/R7xU9/EZO
Dgk25kXo1sZsszM6nokb7eibefjJ0H9yyV5W2NGnp3boQTws5uA3Nbdyw47WSVHd6BVtHKiLgO0X
mkfLBpsbS6tpbb5HDCwrlTZ+VXck1kKpQNVIxo4zp4hHOZXhsiz8cWTcznT3M6q913LRH5D6f/Ln
B2ZUqR36G9JfjBqgQ1xAcbZKAPrsCJPVWGu7Om8DqG6XMS4OzPCP5rx8HxyV1Gv3QLNBI6UQIhfF
j4R3rr0ib84cppsNuSQxL45in6o8vCPRHOcLK5m1Ho9QN0z4V1gKnqEH8l1uig+lctnSzFOLezkq
N2k270Ml36ZQV31PjC+iYmmT9/MlUZ33eAS+Z470DHPBz61j7wwbB7gT52y20DTojY4Uh/D6xtC3
YaU/9w0tFs8Uu0E2dtHQ4XlOnpfI4BdXzG9J2BTgLug8h/5dGdqg02V0SKgGTRk+GQAV/YXiKnTS
EMxMrjIV3Tf7dliJtr6PJ6MI1BQX40wrjUIqfDZyljRhHTr8fBkb1rwNOouJj2iSLSyz+FjCEIH2
bBjfC1Wft2MIBmOw2lWS0bhORbNPEmHzZxsPtdtd5oL+iCwGOLTGforVc9yPj6WqHvqJeJZcIdMq
UWicB7CDWazeTVF/tMr4nnBV+qPUDso2BaJpTkZgz8pVwqKMw0/20MamtUqK2glyp6apjOOs3LRT
F8W+Usn41YbsBAUX294koD7OiVgpVVfZqgKcH5CRZFV2BazJQT/AqkQcwknV0eb8JqkIcPm3F/lx
I/nbXuT8Ob59/NWV5I9tCL8SRg4AeZwkpZDplzZEd1VZ/E1DilV/2dl4WEZsmgwyHsAnf9Hwfl5J
PEg+1peqFbb9PyT2oGT6cxviQDWBC8TNlE6JP8Uf2xByYGrDCpPlkpTXxkKroIcL01nvPcxCn1bq
Qq6Np5dXrshvefzoInLFd5i9V1MM7BzsJ2yt3uNHDOGLSlc/K/a7F2enfPAehWgeUJx/x9O+aRS7
XiV4VfO6oAJ2NuIpJEOqXlxhoce8H47eKhPGeVIbGA5keqwaO3tEByRIt7U54EBE0Lm/rCrdes5y
FpOLeIdDX3Iz8HZTMzxkSX/deuY5cUNti6fsrshmotDm6ByO/aGaRjKCle6ouekAqgH65FzxdxZB
6hqwZJH6u/HGswFNpxYRoLHyNNQ8QcwZODDPOUFEwiTwDDBcuEaViNEbuT3T8KZxwQUR37risvrB
/uHSZZoNqr5Z7oRSoKIMiWGqO180MxeLlHcNgDRyjFJJSR+zXgpBapQ9hQ56SjU/OFVCV4NOjKVZ
KAH4aeBOY5Ajtw68hVvS5ImVoTFmgvVYi9Z6ZARsMj9iyL7zgP9jhBks0q6RgnadeNCmSaQ+GKGG
VDAeDUILUtzK53mJUhkjEOWcfStQ882YXLn2uM66Zavm805Mo70eYJ5gdYnQ/puj7wjOyiFgDNNB
8AEx57NOLeKZO2+FBxoZGfc1u+MHJw6Hh74sXxOQISFRn2ZeITft9sswkBUIFNpOy12lq8o6zmqL
hdB48lTApdliHFEMPy2mfSjqOvMLa3lrNKt5MIvuNipMbjLjaqqnPWKTLXnoIeuqkPVZEu4wEBMv
1hhH4nQ1SjykjEUhAlsU7qMygpCxG2UzeTrgqZHFH22IG0574VnZSq1qG31vCU1RoV1u6m1C871S
HYTaergxBkwfCrbKth0eRZ4/5Zb+vTL4nrGSf1bdihC97AGCxwuJyNdzzJg49y7rJPHctWXBLx/v
wjl1fKjaZJz2h2IgQ1BPxfMIo6bUmrd+Sdbg1I+sVwItqV/sBNtPaBBek6klxbXN71nwP8Qdjot6
IPdVdbIjEKl1LRgeeuelQQi9agf71CIfpwPZqgZgYBhBW3WBbTQMr5Yb3epsTBytvGBUu8w1coTG
Fjp7PpaQjV1eiWw860a0ycqPjCXSMJK81U3htkomid82WRhZy3ViW+iAiSTzSKjj9+6eBclXPpLy
tyKEU2upGWK2DkB0HqE3GJd7W3DmmavcWRmtcw+u8wgD5EW48Sn35htDV7Yc0+APN95HWKi7wnP5
MXIaspoKfgBDiY2Z12Gqf1qpSSbvqN3zY/zs9AiMtLA69wnsEc/48EhgRzY3XVchou6i00yfFQ1B
gmFprXIbnaLbt9rKImX4mmHqNgPCuEKQQODYSIZRsWiAM23vfQ77tyxvrkOtZa/qWGHQTSobzqXx
OERZR8q+eS0Md6ssVYzIfGzSu7rUvoWLQdhCJh5EVV0ZInrXSu0w5MOyQz2irPtMpzmIiDqu426z
5LD/wC9+VrUj1gOAQlCQtaQxNZxi6GlXtucga7by1g/N9kpozrHXtUMyaPs47m/baISmOxl7W5jn
eVCOVcHfMsmaoO5jdWUJxSQALwrSuBh81zGDf0v+V8mXXvC/Wz98AzeFRPCvpM185X+2DxooPgo4
ZxeHNYIUJ/xS9l2bHdXP/8JX/b59wG9sogREvYQyyqFZ+Fn23d9UIm+ALQI08Qhw+EexNpx+/nvd
J5+BPx37BzqTP7uGjXQsO5hT02XOXfpm2oCNMcbpuk7lsz73PHdZZ0ApM8eXKS2OdTd7W1t1HaS+
iHKJ8gbjXroauD57zakd6+NSOr6tJspR7cWbFeqCjNH+c7KbDoYYF4GaUYPm3D4RzYfFazSaTT2P
zZlMJryY8WOPDWIiGxpetXsoev3AHed7Ni+PE8ONY2aXhmEHy+zOS1hQeim6w0RORGmO3RF6ax5Q
oiDsSsy4yQiVOubDZCuv2ah8TnLGkjkT/ox7ED9A8dEUjFSZqpx7dRwCzCIsCzP0DaQ3vy9ygmNv
rfm53GuMcr4bluoxlgMfg59dtailv2ZBORVGLXTgU5TsYZ/dNp19MpgeBZn2S3nNbmcKsImcS8/e
iDl9KuCHh4yecWndj3IWVdPvSySfNYZUF0Qg+QEk7owMsJXSQ+KSM+2Qx/lm7jl7YaZrgpbRt2AD
GvRyGuY0n/oGCeNrVc7KogIuX8j5ucM1t1Z6uwtMhusspmwUirHF4pLeWlquIymjLKcLZlYtIfnC
qkDFtXJmJ3VnJN1dqw/IQ24rkgVWppzxuQrvEcYmQWswdJjITHdD6C3ZYxkpTnTSO1E8cXLA3ZkD
QuPbNwp/NuyJe1cyrYkG/N55RLfF4yXu28w3Coivpz7sO++1hbv0wUbfUdjdc9NPTC3cWJ2tXRyV
8PIOfLwf6Qt2QXOqToXQkwcEEI8trEcmTO81S2YsgCQ5XiYz1QOlHtqNvrj3XjntjQK6FFm32xzH
8K7VtAdlCLVg4Plcz6EoubngSirMolk5nV5eupIODAvJivi80xwv1T0/AQhwTKfiDJbP1+VSdWt3
mOp75s/3DobK0cl0TJtp/FlryLiFuaikt2ssh6oQyRDDfqFYGjegfti1hALv9NbO7xq7yUH+OeV9
pi+gkLUkZllX31duH/S9jUZ/QFMXJRaRUFjNhlBJJb4aLUC1XCZwiL5itLNfcPZaW4k+HXtbQ4WR
kJzcL+rbHNZ+E0+PdO418hh1wRtNnkRkestKn01ljw93es3SCUumaMIgcftyyykw+5YZVrfLh6lZ
icYlfyied8jocTn37OeCFrkGSDSvvZkMLbyKI8M9ueNy7hDw0ScoXAYqZPppMbYb6HJz0OsEzSqu
ANWp4bXNrFms/61HP+rR34oG5Dp89dmWb+3HX5JjpQz9Z03SzN80AwIfGjtMm18agZ81SSoLVPR6
JnI9qoLKtvpnTbL4L4jWPcshIMh2pJbvZ00yfqPAkSbKJRMROxCDfyLYg77yp5rEQ49Kz3bYh6JO
ZAP/x1nUI0u7hikbn5XM1QNLykpd3vW9LaWm45fqtG/6Fpz6oqBGpdGi7LDO6tKHJc2Ypb60q6WU
sRJKHM1k5kp56/yldB0YzmRQ89wIRLAcfFEnrZofAllSSxlrsi/lLBrdFhlt/6WpdXuCPFoL4c2q
VBwuh5hu0vuiyscHXtRU93MCxe9iDUwSbsQ03tTkjYuqz7sdzjdQj9bgPJbaqAyrhZnrsaazRUJj
1WLxzZK3yFe6pvQzo3avjWysX4yiSV8Uq8ZR72moBrQxD3n/tIhVvJsmJxRooB2LUBSR7yZ26HuV
zqFYLfzCSIeTqjjF2bHL8bZAYkHOQsaBMnHKcTcooUUVadxXHXuhYKz1KrEiPtOeV46bWA4yq9y5
VTSylH3RF8mOmArxrdAVTl+RCRHAX1RERMDZPSvl028aQ1bt3dHoWffzD9JhzVfGlz7hdV1nTPNr
k2tyXK5RKHO+QCA8CjmATwYRdjsvcvnflrqNtg7tAuTAMX01vLK78ZzO4TZua5SQzozvsVmdPQNX
+HWl8N28LpVoJI+uk8NiFFZDs491bQgvbqKnL1ne6fezR8vNtUIGuk+lmuQ79SvrndU0ue8NfsD5
UDgAZT/tyY0+PW5EW6wJ4SZP4qphR0HEfKeQqlMorRNkbtI9x4ZWtxdJLfAZZf495P0QGJs8FX/T
SYNY/mx5ncCi9cv+4//+1+9f9fPF4lBn8rkk5+zrvQJP/WsX7XGP82xAeMibXB6Lny+W9xsLM44E
NjHEP9Ap/3mxYF1jEkBoz0OGIwH18T844rGs+9OLxZtI84x3wcTByD3xTxLjUS91Qnm85cLxpNuo
Sl6uO9wG2SozuKId6ctmNLyjpSjYysr6NE3DnUovYrkZ4ISWpXESq9bVXM4Nq2C0TQNTs4k83s8X
o9voWo+ytQKfTJ9c3+hmS96W2StHWlfs1Gn17AmwDWBfv5UN6X5aLG6KpMJCO1Xkm9Ujx77IuRAt
MfplhWQ1qqFaJtUEf8JFczQQ+oPXRr/JDCXfjwX7rAI6itrG1k5x5plIApKktGwoAXLbpeUndXaL
Belzypo7tshXdcFNoCXncJ/OynyIILvyeHj1RR3sVxwBCF/5VUItO+EomaDccwSZCWYPJ++ElI33
V8+J2hhv1Ew8FkP94KXNMYm7V7gV27Qu+MOKSYeTml6ZFn37gMxU1O6H8PKMwwj0X1cfj4uDXhi9
cuMrA7rE2OaISIOdxQZXJbfahPRqjtKcSr1+ThPZ46HnwERRIFmwlneR6GcNldN64naVsA7z1dRo
YPwaAL23yiDPNzG/X0gAhN+AHXG1Fm1StdWRM6jetNUxMw+at9Fa8SlcN1lbzngsZwsGKB56FGYA
Xcuhq30T2z662anm/fOq1aSbT/WQn7DQR0Fj1utx1jm4LJ+hY685zMllbCRtlJx0IrRBmVUGvSmq
jab26ORy/TpsFxs3IQ7/Oq1v4la8uQ1qDA3ctR/n4CdbCe0u7Wo/6v1jmlY3g1pQFm1kVy4aJNFs
rByBaGyQb6LZlMroqS9rjyjO7hgBPA1GpeDqZfPj6qKKZ70QYRJfkB45eZmgjeuQw0Vhv04a75Hn
9TorooZDjn0MJ7cNlqaj97OSNzRaUnlavTmz0frdTLhTp4RiF/aVGUAwyEh/MwHecMTBoy3qYDYj
cxX10Z0TOvxMVYa+g7zNqFDNPgHeHkdZoaySBmgu8TOo2aYbW4vRxxjhqpwLd83kcFXY+g6/EAu9
yCPUquuCXAHB4MSES0gGt11r/cqCw8yBcL5UmH5aiLrUqOzbkA5PaWG818t0nZoDJpqo+OSR4pwc
YQOd3DO5HOo6dVE6hR2SMegC10ZtfCAYquWCZ2fky/uUeudZL++SMk/ZZIqXnP0rxcWKNqSmpcS5
cabqQ/ulqxpwMJiV0jT7TMXY7BY93IoB1b+eKzaiafCwXkS2YBxNfKiTfI1R4IkA8ye6GmRio/nW
qukrCRtsyvuqX9WoFFdJhYWpch/TVjlq0XiAr0xG9GwRdlMfwsrinFqh57M0bZV6ygve4K2TVldV
W+SryUHREkfOcy90SLSR4e3GGul/V5DbMiGXXjWdZ170rHKVoJHD278N/VdDb1Kq/qYs4rx4+z9+
/vZXCaDyS3+pjTrueXpvC50Ld4lfaqP+m67q7Ijw6mHM+dV+I0UskDa/6Cj/H83ys5u3f8Nub+ie
jXeUVvyfBSebX4FMv7rxLJdtEK5WDIP4XgGX/rGbd7RIy/PWqkDjtrA6+lkefOQddmYhrs+Rtp/C
bJMbIM0LXmYkAfFL4TmHYgRcia+zyquzQ3uHN/QilHCtInfwc0ANV8CqkYAk7eOims+uV6uB28m1
iUIk45Ld222I6aYXXMmjjFVP6pDGyTYWCHVKukCOa4k33IJHoQGmwLcxBsy04zYmosDPLHhQpdrH
mHq8tUipuFq0BJRLJBwVTArJvxgkCUMBiTFLNsaycF6h/ltBLMW646g+jBKlkS7rSbI1es/M5GIM
3kZrfbMlgaOWLI5GUjmIDP46rUPqKNNvHquv9SIpHkMBFZkwxT24p3CfS9YHgqF1VWIIUkkTOFqW
Ml3hsOUlBIYC0yN9wKBOSl7eaziN0gvLI1/iQ1aTMDe9PdxjuLUZWJoHdNWXutF4R4zpyiQGaGM0
oTyJl0NQKnntTyYSEk+uorJmONXUFu4yFQmio8IahQTTUkfZOt56KTKEcIKZKCZt5xgYRpYs+RjR
e0SlOAsd5P0ACZoUuvY57xU/5LnBH1FfDSRVrWpV95jiBl8RyI4qyZXpKgKs6j41gly392lv32Qh
1ZMYWHIxRLRuzMLdTEr1rdF1Ri6141wxrc2GJFC1wJeSXLR8OBqGQNZsdsdm5GcmHLrrJrHJwsj4
1qgjvBuT6tuVqMvTYds0xsmxYoRJXqX4zZhWUATKIKuVbZsq19lcdScB+YF/PQwcg2vf6rZ+8uqc
lM5lnCnqxEboGWpLoxLJKjf7bp1mKvmiU7juoo55ZI43Y1qeIjN8XRog+7niklti2IHVq49mAxrC
gJ+v5SkFs7cDN4luokm70map+5kRpXgfrT3V8Ks7voedvY8aFD9owq76obskVdcoNxUxueJzmXMi
AdBdeFn9SPR0Q+QAdhapZCmHrD6kvfdSZeptb7Ufbr3AdShXtYg2oPCCupugJCmbVtWPVR6fk6o6
zGl3hhN/PZZZhtIqZoMWDkSjhtZ3YSsDELzJMMlPDB0gGOUo7nRbnKKmRW6Zk0PC4gqhvmHz+xLq
nbfbCVfNmjvZbhLGdWu9dBJVVwzeQwkkDd/asdVRbBNIgZKC2KFaXA9CR+6D8GKxhhseO2pvH7DQ
ximXwG8JYeUZXX/FxqPCGd4fK2h6jubIDfWdqGeWBS3AvVii9/QWJ4tZoCr2Ig32nET0GbD6cgnt
I3BSZssA8qsk0k8Z+Mkpa/RKJXaHVQH5D5Hts2OW3yuIgIVEA5owAgWkD0vL2JRLfCARXtxk2tAh
x6F+dxm6r3AcnpKZC/OiqtdFRVoHpz/tMhn5p4FDbq2K6XPoFPhE9nxrTEu9N8rxVauKDR3985I4
NHrNxuuKOCByBpec2ZnbGedDyZyLVIl9qLugUakCtW6vvQTCEkG7QhLkrCY8kzqaBEigd5gFvIOj
WA8uWjB+59EnZ+9eA/G1ja2qC0Sj1et6Tud1o+inmY/BtVN5t7AAdyiSE7/MRxS6BGXpMiGHxgIv
stMH/F0TzEydCY26eYsbLrY9OIGVnedrdgnfI+9bwkGy643bjO8JdUDDTwi8qc/da5b8pC2QLBmO
GVz60CHrThA2No3pNm4a5HlpDtSxx9fFL+e63LYsGSBgRec4BcRhD8l4NBWtXPMPuuwsfb6V04VW
1Cx6qoQFr0sO8YyWF1xgtJ/pHUOFiZ4TM9Mj6xDnVe1Esuc5hp/PPBIRl6DEzZ2ehFubYyJCRHvg
Kq9BDIm6b5mOu07pCPKxIBiMTXOKOnRBtOp3gzVfMfkxjBnNdsBPZ2X1eaoAZtfadIn6+VZdqrUS
GsuGDdixarwdHrTpPhbLsJkG/TPzhlmSjW6KmNB5kWNq/ref+tFPcUD7X/spoC5/sWrgK39ppyx2
ThZbATqgP8Zq6SwUHAjbv5Pufq4anN9YmrJQ/cn2+OVgRztl8elxeWxUuqN/BnDF4vXnVYOrss+w
bJueDnHwn93MXqhUduS69aVEPwm2wGbw1jnh5DiaEoz+az3ltN3pXFXyzCFryer3jaWBi8NfURXF
dJggGeG/h1HXq8MuIgqDvt/iNgXytCqHdDOQHZw66fsUtmhZYAgh32dazvuxXDuF5eJNXrzruCke
rJaxp5kMIqIycbVk6FCjvvLV5ClMjXvKcHlxtFDxq5kuY0iciKFDSw5FHj+FJkbijPQqqjGoan7y
NaUdNpHOh6HkUwFg95jW87JR55KIjPmWRgXbJR+kXGnOI5+syGy2lvyojXzmCqe9QxSB2nCpTp38
WEa9sc1Uj8xHPrGL/OhWUTSuHflxNvhco8u54/6xieUH3jNb9jBtsh95CzQtdvxpns5j1ARki8kk
Hvl2zMWOLBQtmLMhJr1XXgbFbfj14si3x5GvUJ7gnyl4mLBVHjz5UqU8WYKnK5VvWCJfM56k7STf
t0a+dIp88zT5+g2CxCSeQ0O+iwYPZC5fyp4nE9krx7cPch++O/xyg3xZE/nGxlr3Fg+lyYmP99fk
IU7li2zIt9kAs8CGmuujfLdtHnASEG+hBFXXTaGdGvnGq/K1T+S7z2JL30JvuDdlTchGQsgpErWs
FvRCaJ6pHzaFRJUVBY/xJqTEdFV/PVFyelINc0pQJWsR4clPnqxOpaxToaxYHqVLUMIIL3rWKWm0
CK+mrHGFMd7SzLCHovzxO8/rmYI4ysrIbRY5lrZcp7JqhpRPT9bR0WjfNVlZUXDoyERh98ZK4azx
n3mY5cuuoZSCI2dJgZ6yPuPeIG0qggQ8f0GBnS9AsFGD9yDXjubHnQ4jljo3dDZtPe/kAnixDG61
YfvimROYvKUE5VvzWyDFrYlaaidcOYPFt9iNwq1SxOLBqCvyUnUE8Ubt3LmNfey15TOPmyzQMuuW
yLHoaJMXLwqENTHycS8tkSSDI0Ss9JGK2kNb7XzMDgn0his6rh64cSqtu+kbnFJhewoB6gZQ6utD
5dDUYhnGrG6uwdZJcYs7rLR54SsI0FqVU7RsUi38ntfhdQ5mJzCLXkUbPGAoHkwE1yI/NnqproVq
Nzty6QNFGzmLl4cp1Vngh/pLWrOUBNbTX+HEU0/G1Fqfqhpm95VqEvA9ugti9TzGjfxvdfpRnTil
/U11it+6/u0vKhNf9UtlIp6Juy1dLd5PKRP9ebbTDRAcTNloRYDAowf9zxL8iyxlMnjL8vSFlvrP
2Y4sSJ122JakDfUHxucfLMGtL4L9HwZ9k9ufLHO2hXEGM/EfB30wVCqppkD0Vd4tRH4IuDVzehwd
Gy5Ao1xqmbZBm3UiOJ7Y4AUzOt5YTnsoHMfZ/aRjP6FPvYcllfto4bBEGh47tIiX2zV2bj5s7D5c
F/gzJ0aqAkbFakJXaRjaS2f1PlI5JsQ5XnczHaiTnpZ++CRraz3hjWATylCq1Tx75jfOn9to8RLO
+hWBSEkx7NK63bWed+zIaERYuhH6/2PvvHrb2NJ0/Vc2zn0ZlcMBzgDDTOW4JfmmQEty5Zzr159n
UdLelkV7eg8FDAdo9kV3W3aRXFrhW+/3BgT3pIRNFKM9MdXs1sK9vFP9ZjqUerD0R3UTl/JCleV7
RCfGwnKJj87hkixL2G5TLA0hn5jVEUIaZHkIhWtVWjkaYVF+eA0NNYcOwY21zfvLFC/KSWXni84U
nDc+3DHmYup0tDsWZqqkE/a3c0eLn7DvypeDCk8x8LhqSIN7gxiWZQ4uKacdWVZVeBrpfTYL8Keb
p20eT/3cAunsswGeij3HxujIN+p05hGtwuVPwkQupTzOAI39YpLazpHSIvGxjPqUOEvS6JslkM0l
luXSvBnxch2SDmq5/V2R+g4Bd3qJl2ky0W3nIQyVKyTQ7EtuhulmrCXTwdRuxiR4iNJi1sXs54Ed
QaYIghNwouOwkL9DTDVXsPr0mRo0w9yvTJqdrnbZ1P6dH/L5PfwYaLcKCV2ug7hk+Iukmj5HLf6c
hRGKHVI8PXwrAmIx0QqCjwS8j9xXk8F1UioaPHqH5Kovsf3I7Bzfa61Zep5FvnIK6bIeoNN2If8u
1mqHO0OkL5OsOc8y+85QXH7vFVCF0hcYk+YPShOc1GFwUgZOsJY8BWdck4NRV1NuBtWA/y+aZLyC
86WrZWcIb08KeqqULJDuvSo4I6DzAaPhgIxewasMSgDudGp2fNCupXJQ4nZVKPKFqlakBnbCyBAT
Rq9ZV2l+20jtMqtSAtmyhW72sBiTAJ5T1Tpz3ey44cY+EJjc3o9F8Fy16L/CfkkUKIrvlABs4P9z
FLF3xmBdZEWHP7DTXttRvKjlo2I8q9tTVwoWg+ysvT49V4z0Qm3dVWyM51JjIosa2qUqSseGRDDM
yUeAGAA9k/qGCRq4U1PyXcAskyHnoWli5FP4bwkoEr7iidx+96M+mvWJZgkDGZZqVH3r0T10hDla
Yd+sM6kIQWkc4utSY+0rhTEbXZ07mYqOe2KnTr+U8A+YG71G5B0BegtHsrm/o6/3eh9mtxuFSFr0
p8aodbIno6dMa+/p8z+OVhfOswomlqd1F0MDkIULFYKR2qznbEetNjWaVC2PVS+uj9l7KNvsnHtn
X6AhSpN6baT4ocP/xbryFn8S21760NKWDcp11lKRKhNEreUIFwjXnLmdIq2n4adq9orm5ZBPSg1k
/ExKk6G5dl4M9pxS0o6bvsmOOyON/fty1NX2PKrzVeZR/OUhRvSZHumLIDC8SSGPG6X0ripXw0wm
6o90PW0WpVQi4pLMYwOj3BnwK/G1sflYZFmFr72JhUqo30eSaU99PHwnijyaR1rGZI5SQib56zJ4
SvY1d/WNH5bqrLZDVNgjamDHBxnwM/zw0w6/XLkVKXJQjAiEPB0Q8/aBEy4Ax071tLyU3OY4sbOv
4DPfR6zmux6hSwWsCnSDA3al9Uf+AGGswy3EyjdBlF2ZgdtNatXw54DQVHN1dy2r4ZlbOSdSOJDm
qn4fFZmneMb3qE1Q0iDlH4/UoQ9nulHOXa+8igSELPsy4sdZHx/HvnUqRzEWb3226bxx7Ws0mWhI
mtMiINiFyXhmWtE4A0nnJiKRN8yJOessY4S00JyO8kD4AvnmjEK+slIwsSojShtzZfZ2mHmWE1gQ
7dFOpq50U0ez0fDu1BILVVsPXcSR3KnsyOl4c/o5DnIEbXTQgcGtxMUFn4XOJjEh6XOieLPuJLeh
9dk2QjBPsc6JzzwFiYCZiAWOk5Lxm1TUZvXGdLphrrbR9cDNhwqS25nrcIAYIZmuDVlfTZfegZIf
hRJqfqsZ75vC8SHlESwe1VCtINlIUzpaz5Xj3LJBL+Q8PokSX5hraCstzG5h/C+lwOppkMlr7nMX
LS1Qx8i+BRx0Ey62Z7pcH+u0gactODQ6VKWE3l2uPanlSKg7b6IaSLP8KFo7xmATqZxOcY0olpUR
dNNAr86joLmgElnQKf+zTVCsRcg79EZlAjZ6P49k+oswXwsQS9daSh4/tbiqzGg5LlOJCEsTTG5d
M6CkgcbnOIqEE9uqj3B74ApqgmlV/W2cZvJ8yDgE2bIWUjB6S6lTjmM4l1OMI4H+WWnHnqJCx8T0
R6oQztapjOG7ioildV2C18HAp6GFnZ0eXPhNSIIJpiGoVzGOClw2OKNbjYnKkiD+VcVTljYw0jIz
6x/TzLvTjALWoPU46tpjb8qLvDLvs8i7h29n4m4RrN0kv5cze6Xp5XVHfoQW4nSgDtFUjv1jtew2
IhG7sdRnJ8IOuAku4Xsjvanl61QXm7hkoOUs/X+DQq8sEvCT35TdQYULU9bsKLz5dz8U3gSrwS5B
LP7Kxv6h8IYJJ4PH0DLD0/WHwhtXPNmhHqdeA0qCvfJj4Y0THcQU8tpk0bOz/gn7BOr3z5CQDk5l
ESmlwmnho/xUeCs0NpqoNLOLvpRZYK3eTfRcbyej3q18i52oHQRnQu7kc76EfCzHCUWlGVjRGtJ3
dh8QOnoK7AXuqGnFdcjGsTL6pjrrIjd/yms3WVoxLA8/tvAEA+8IpjmZJ4BIFIEXVZnU5xjl6w+S
bNYLxYVkPmUlxbMxddOzCDXrky35V7QkjHNPUaQjGtzdcrTN5La2B+OBIGuWgmo0p3XlW8jMU9hX
VoMlv2LAtdYamUAVrVKfM6OJ7w05TleegU6btPBq08K5J9UXsoVVQsGwQvw3G7/NLzsu2HET1PQe
vHzWdooO11hK9fYxQzqpHysYygz9os6iZqlsXWR1zwl90juFz2xBL788t3zKRctTep/Mb4ddvhMu
tSObkNWd2Q5IHO4mOgDSIos728Lwvs07aWZQRQTHppRSLuO9PXwLW7VI5ire8w65Qw9mF2sbqItG
NuFsSheAy8bR0MDlrrts3Ig+Kv1KNZCPce+D3O4pztLNW+8bMymYyuk4btzKH58xzr8vpWKResGR
ZIHhJAo1TWeUBD7nnQc8oTTDMhpIF/aUejiJsh7dcO1E4G3kPMeToPOCRZXUGk3IFjUee/KdbgVA
bI5yq7FBr3IJ7xkfwgsEmrJemWFlXtt+nqxrCWlgLhfmGbbg8ixRM0cG1DfIu6zkhOozdr5JFkmz
WkxEdN4n57h0SrOybhHSSuB58y4uiJLo3QBxvJShCMvd9IrbryCWj+ZXj31vNjpWeNtT1p1YoR6S
oQArUsEtatqN1nBSRWP2MDa9dMzkRfBrYcpKGJN7b49Jd5uGJUhZ1hOuFPT5hd+in0khuMazVNfb
CjqOjnEArMSaC6NRzbySE2LqoX/HcJTt16STFWtHVt9pl6CsNpaQmak851k+LooA1ojD3j5B3Pua
FPdvQw8hPvndXvxMgvuOnfgH5jJeHrIMd9nB3Fd9ceX4aydGaGOQocZtH2PiLQ3iDZx3vkBZxn0H
TvF2l+aBb1wHKIKOQiKaZQiLUMGQ+AcQyA41jY6YB0UP2Lysqrh5v4dARs1PfDUL2GdtmW5WMoZz
U/maeU8o7EbktZMScV0gVHYB+sOTLufPS9U6N5HiNUW+MJHmxUj0uBVPMTzrl1Xk36dEYmNjfKWl
9mku1H2V9aAI4WiM7G9E/lcbVsXtEkWg6jW3eIfd4DWKV7Yjx9OigIIgIyTEdpe6Vz02Bhx9ERqO
PqArwkNVl4opYZ7AArTPhDYxGoNVRU7cJES2qHjWqhM6Rp10R0LEHsIkvR0ROsLQu8dUDrM1JJAS
FWiBJDJSEpytEEmWjrQYEU0GDvd9vtkydxDbcs2lqV2bE80VEfeILmvEl2ASNiJYfWkhyyyr1gZj
sP8sOkCivB6sNen2qIxd/TiUY2QXnbQiPBHIPChd6MzDMtP7tboVg5pXXd5cDVgd3sbIRWOhGzWR
LXgISaFbwsOELJzL/akntKadZ0lzA/lp3aKm6BGk6ghTySQgjgWp6qA8VQhXPQSsAyyRySA0rWAy
XyOhco1hC8TIXjWhf3UM5XZLHe9ktLESUVe1UMsOQjcr98MqREhr29085xBtKsbME1rb7kV3G21F
uDivK/7chXW1hCdn9Md1Fgyc4LlcrzMb1kltOdBP1DrEuyyTS+7QgQ65uqpALTZxW3SwJAy1pl4m
BH7S00HWp+zKcO9inS4obVSuMM5p0hQA5Jn2mPplMYG7os40XcIEQs34X50868bq0XQb+rhR8V30
oYBR4COQ7oZrAI4CnhFdWWM+HFuadSb5qj2t1ZxnQIrPJP8+7vWH1O7RcfftNWC5jz9CDkBSGE9h
Xn3n+vY81uUwaa34T8/UmQqadiq3ODRFlXpcplIwD7tam+tGe9EjQZ1pTrTS/fLBjox6oUl6PDdc
+2GoafvmuhlC7e+eyGFDuBJjujQkYDhpUNlwNx3vNPbwE6PAmKWed5TitqH3QOsJ8wXSBy2rY6y3
lmGWX5KrQ8IFMvFc0PZMnExjwAxLd2gzyeadKyI1DP7EVro7bywuAzeeDrpUnXTVQ2oYeMMMEsH0
ljUGMx7VC1kuznO+BIYOPCL51TQu+xbiqkmonF9coSLz1pHvH49meoZBBWnw+Xd800ukwS3AIiY/
5eO/ofUttG6wzf76XLl59jfJjnNF/KsfKnxNqB9hxEEGV2zK+L/OFQGtk3wtmq2cLuIMez1XwM91
+ro2HkgibMHQ/q7wNY4cHKUscQOw+Ef/TKVpKB/cGYRBlDinRHwnnc+fKvw0pviP+RjnLZYK1SzU
tFvPkLHJSSV0xd5cgQ48NcRd3G2bNdJGhVavas6V1jmqjcic5hybCy8cbmwpg5cQwutMlQAPBTOZ
h03+6Kk93E/KYJwGTDNrpJkmNX9WZDddDZglLc3SRN6lD3Cxeos+oKpNc6stT2HENxgdq/6it5Rv
tVt9l4naWuEPDUGWwPCpmVXRHHDlalD6Sy705mXBWoLt1dkzKvlmUnIPmMSO6Oc2oP2DA+s44VPZ
fbQIvUZaKSE+CyENL/SQwZOSqj3k8ZaztE7DdmWSNSb4Qe6k1tCWRm6qnLsqVtd9k/JnxG+vLIyH
JjlvPwYxni6oaHgXWHgj+lpwOQE5aB2bOWzBzGcdqqu6pN2Nx+imjrXi2PRg0GZ1awAQhFeZUU0j
MztuJZwpSlMLpzDJh+XoK5zuTQkACHJRkiwwx4TlNh+ra6csV/Q+7LVRjBdlFw0zejJ3ML0eszI7
w9PAwmLLPyKj+gKF0Y3X4g7ewadvcasqc30tN86pQTbNTK0kExsk3YJCld2HXXyE49NDH9aYAznS
996zcf+t8aGO268Gub95inRewatiGqa1Df7LsODdB0HN9/yTIMD3KiqqACVQdmEP4Z+Q1RJ8bTj/
SCLoUfM6hONlINtjVd2ZbfVgm0DouprNIw9PzMFDpEjD58+MPXqRyLCletv0ZpXc32T86uMtrhq0
5BUhcUITSbjn1NObi1wAsbKAZFE+POp5fd+C1SaUAAtXU55yAeP6AtBNXZWUUyBeL7XahSlg37Go
PN4ez4dGpsSSt/hwIKDiXNfWkgCPPTtBBmtnLASQ5QGEWQdp1gTk7OD1NVfCipQ/s/repWAylYwY
mLWf4xUIbB2M2Dz6LgmddIOADVkjLoYFk1YA3i6+qdxntEkHFu61gOK+3Z9roOQqaLkPam5GNlrK
YNGoa8h3bnfq8MxKr69zAbibIO9RYt5ZTnJOSwRutRYOMxeUPlJgJArUPq3vLQHjZz0E9CzMnXll
OeU0Q6c1qUM67FF+qqrNspKS24q+QFR4J3WSJyuFjkGgDhcqHQS9wfYAT0Zme9+fJ7E6Htly/ODT
gDBMrrSm3FnrsLBOVCc5C2hWxKJrAXlWhX0Z4XgmehoecrYpLY5g3dDwUGl8wKd6iEUnxBY9EZPm
iG4Zd01Znauia+IjPp31opNi+LoxK0V3Bd44VNSmXnp6gq+DOfZTiWZMZ7p3OKGlhATSJRxp2Iyi
cwP01cPbiGc5jR13LJ8L0elRx1iQZNWVLLpAvugHOQzrtKVFpNIqqjuNprnoHmGvrc+itjRXEa0l
gxaTTqsp8HHw6EX3KaYNJdOOGmlLuUIEXopOVVHHErm5yhUGydwuAcCxLb5URX9LodFlOs2yFp2v
IrXduVq1lyVNMZfmWOtXlC6iW0aWbiD6Z66VXMY01HorkI58WmyB6LXJdX9k0nxrhfU4/GdDaIfj
qZl20TwW3bpR9k9H0b/D8rufSWX83RvdG6SLsAUVETQl+n69Hz6VORBKBngji94glxE0MaJf2HnS
uKppIVoC5ByL8XIQ3UVJ9Bkjx7vuyXFtRAOSRqTjJO1Cz8sjQorQoyi+xyWBvqXWmQ1+O8Takpd7
n1CD1J68QbgRLHvR97RpgKIquFVpiI5Wxj9Vg7ne6ouSlilGe8cBLdSwcuvVyCTihm4GNIHl5WAp
j3iTnBoee3YvbOootQqlfKaPdlrTqh1p6Viid1sNzVSnmZthTO9G3BB62rzwHlYWbV/Zqxd6yySQ
2Y9EXxicwp4ZolfcD9ZNTvN4xA80qtkoA83M5jB5VixuYiBpOSsQGCZ95ZyXDpiwSls6Zt6ifUHy
bgk4tVWJe0THXBq4aZjWmGGX4m04O8t5FvgNbrPQ9mRNM89tG9Yu4I26LKvyPoiUayMlYI0YglvF
qh/CiDKxZF+YVPScJ3h2KewgCg1l+xvXnn5ZOuWCz/etDAuoGnb2VEHHwMYABkbqa+NZGoUGURTF
BWfeaafzsy73j2uH9Ii6hbqUSxkObs2TK1IiZKt4In7zPAydCk6jC+uSRDMlNxtcbAZsjDKnReta
6xjU4MrHKiumrm2c+ZbMKssDesuwyLLGWw3YAmHs/00jQ422eno9ZJjFBlL4NbLyRxE7weU2Wbou
yZ+h8E1222vFQNqP55CFO4C1xm6EoziF5M7FyII3j7jVlJTqXCjFvSH5HslRNsWd7hwD4hj1i3ci
a0GCBDX/bkspHRndeeiEnaNUJHAwU5PYPMOY5J50LxeNe1na6Sm7OYFSp3rrL/1AN6RpDIV8LdeR
U5xlMYGsJh61MpcvDJnakY6CU/gn/66jX+poysrf1NENWpTnj/iMwb96q6ORjzsEOXJnU9ldtxXx
Wx2NMT24CCFFxjas8QekXBOBv4THyLIhv7FX3vAZ4wtEEiogqnJWPhrPf4TPfNBpmgRBKGDuKGWQ
J6LReI/PeG5B7Czd/bMxztiMguYroJ8/iSIwSrmNZ0MZi6Z/MMUD+TRAoTczlK6aEq9ykVTZ2oJ9
OamAd3GVLxCuBcc0iE4Ha+wwIwuuZTl6wkAeRknWYlUpEUXtduppNoKluLLpEQ4saJvyHXvjV7XS
753CQ67iO9Q9wovQkcZFrEsSETI+N3I8Ei1Pwm4wD/9EjfI1H7Lb1sd8KqvRELqmid9XvU7hfdaO
dEd0Cn7JFgh/cNpG/gn4wdcqsxN0zNYF3efHGK011ka408N3N5dc+I8aJXtIBnlAoq1BsiG8ZVrE
3Yq673ZQ8xKf/W6h6+R6qyHObHpHMRRJ9lPh4+NI/spJVcc3XUqije0ZcyOyr3Ase0KlcAGAgbEE
9B7w8bCeux1wed7e4+30iNLvwS3Uc1zrH+m6kOYdld68STt2ayu5oFuwQvg50UPva6ziqZLHNi74
ZiS2weyxUxx6ezhkJEPZTfJt3q+eUPIWbI20Wk7qKsJkzD1JPfoPnEiLgXR7uezQpDorTzWuhrH9
Hujhs5WUN1rgwdMY7zEWxxxSYPr8khwZr/yus5ypKuParvaFeUnxe+o7/fc4dLKZi/Qmw/YK1/wQ
IxVZvdM940qvB8Ijg+hG99TvjWq26yEQ/9xomgUa+ftEalZV5gMuYIPe1GTlcFEKuWzFD6TkED+c
NzADDRlpJUJHUDtjIuvAB2O0kK0cnMOWl0Xtk34T5eAIOb81aPPdVDVMnDqpoApiV8ygqpZuhcu+
mxRHYxJ5szLEQdboxisrNpZdaiyaQi+m+uiCuUXcgihOaBSMVTjjRKQCAbMnspdJPFT8DhM19+Zd
OV5nXsm7pvbCc9uFKzfXo60dBR0sJEvlVlUVrjfzYuiqbRM91ll/b5OMhiQ1/yYrWYn6yp2WHRrg
Tg5WhIdBCZb8lYzz3UyySKmX5WxpDvJSkck8q2SJKBe/GyZaaz9jnX9C2xy7syrM56VTr01vGHA5
h43sJRj7FeQGCbUIszHBor3+VnGRJB8F7z19RDmS9KZ6rKcYxROd4HjrWHV8bP2j7k61o7Kdl1Ll
B38yDG59rtaW183NwNAWJg5k6Y3VxHWGbU5O+oBTxpU/xeTBuuCQDMyLoQj8C63ovYegyedVzBSa
iHTPs7yqIAFRT9lgUrLh0YajCvMLWcKWyOgv5Vg6QpQT4DpjtZoxaex4nHF5qoo1rq0uksqg3wai
ajExRQO2gV2MssfsCyJcNfU+6rj8nMZp3rDPxD6UZNN6lL2mIfjAHEqwOli5DpmukW4U8yBQLe9G
rq24elDd1oOpoI2qj7NNYrpfIyPAcV9WywQTdKdv8n+3ll9ay4Ka/+vj8gHGxY7D8n1bmQMPDy/F
4SyCPPED6KQSiKhyHsKoxIlF5Yh9a2bYX2gqE+CC9aeGKkcHKno7LG3kCXiI29gdgBNxaP6zwxI+
6fsUUW69JkGNNE0s5As/8znrkhZqrIb9OR1gaQJZBYZweVOrZAyFKlvwqKQZIUZKzKpJkutKmBkR
adWsmtFVpgoyFsTteB4VunZGsrI8Z33CH7JCBE/0KWthluTjmuQ02CdlwkgpEpZKjufl0yTBRMxp
3OxGx3mplJnnNV5MLc4c5yjLCzZojJpoTqBXJ1Fy7rXYOJErf5sIY6c4huIXOtoSd+u1hveTV2AC
1Qs7KFMYQ8XCIoqz5ysd627l4B6VChupQhhK+cJaqhYmU0RL9MAtsXoeKCQ49nLtrCBWcQPrVBp/
W/mzEEKT2uKs8lT4M6GSzrAoof0eArA1yUkDNBShqO6EtLpGY+0IsbWB6lpu9HlkefJcRY8docvm
CvUno3maCcG2LKTbmRBxp5H/1UDV3ZtOP8EC4s4rojtBY5nj1kzUAFrwWojCNSEP11IUb6aHx9eI
dFwykaoLMXmfmkdmiVCyHkHc8G0JF7XQnvsudo4pcnR+0eHUMfPrTHLPdDrWNj0gzeXerSNld5G0
Q2BsT6C9IbCocSUrOvsMKg43Cnc8MzJ+pXXezwpE8hFieVUr70bE85KbA2L4/lGErB5jUwIwc5T2
itDcS526NvDMo4AHk+8Q5sNhxukg0cH0zJNMaPczoeI3kPPn3nip63SAhM5fEop/hIi4mwoXANMu
IvtcG9gYv8mqaQxriyJgjkP1Me2NkUs+tLlZbHDd8y3jWaqiBd7K9I+kYbFt2rgO1qVUf0ctWmKY
r8BvaqKckN+LSblgzbkip80TiW0D0W12gR8+kgX1qjSMdtraJWJCot4KNdcnuP0M2IEjLSUDdEFB
yMEdjQyySIuTBnLj6J9gis8Cn8rMVM3Lr2KRMtcG+roXuXO5SKBLRRadSyidItLpSpFTh/I7malu
h6MYGXYaYXbDoK4CkW4XGcZNSdydKnLvrEibWgThYfgQrzv873B1x0zBIi5PssnNs+oBcJRm/hST
MXMBLfa6FTl7bm2cEMiSTx2RwScTxldCnzhSiOfDtFVZF1nAb4nkvli7rxT3XOq8BV34fkFZCL27
JO3PScplNXAr5eY5s0kE9EkGtLOcpc4yyXOrZ2CTr5heHhGClK8jidibOFCUc7/LNeohWCJc2+jU
6Fz+G9s9awtiU0IHF4wBr9sYw0BKAoAkF9r0oOBLMCCCOSqG0SaOUHVXclET7VJl+nLwXGcmS0W1
zov0mAagNR+8RjuCXzweFaEiLfWskOdZkV+aEjfyMRqOJNm7z6VEu1BDjObY/WAXB7ozxZn2SKIA
9nrPBb3IHwor9L5XKepan2V8aYXh8xiOkPngFwDb/W+5br4yFmabejPfmvNcNs/lcPVcUfNUb31y
8dOLLEjrm+y/95d+/6BXW6CbIX/+f/9n84RibBZUdRk81uLauf1Uf1sGCV+gdyfy9oNtP/VvnxNv
sB5qnngH7qImeWJcVLmOiheHcpxBoHn5saTgRESBTp9IsKx4rx/G6Fej8Psv+DKcv/87v/7wP46B
wc36v/H9+YJ/f310jDTBoKuR3ixetLTefX0RL6fAceD6TJoqr0MYhB0zQd97JiCcsaCS2KqpvXxT
vuq7oRDZtjBKIPgxR/7nZ8KOQZB/7ov+8+Vgf6H6M0yRx7t90Rh9NwjMB4uXYVgv3J7/4eWwYxBE
7bznnmB9oap2TBRUuwcBVhIkfsdSKGJfF80BzgfxG/yEoSDxHX3Z26Lg9vFuPrAoVIte+WHsjjum
g8h42nM6iEwGkhcIy/z45WGmCWvmlzl3eItBAJ57fvut/7QDj45MWfH6eUdgBiiabhuwKLbvdXiD
oPF723MQLGBpWbYEH+Pl9XEm6Crpq1h0H+ggiJN9z0EAbhDwhGqz9b/fBGQOhS398aWKeHmrw5sI
rzP0sf+/3nP2Vx37D8tFTCJY7xZIzuvW//NQUB9gtSVsrxjvwxsEUeHuPRGQJasKTKeXQWD3+3kQ
QKcdoU440EEQ7sh7DgKeyjKInK2RGyheP18caI2pDq0n62Anwv6FEicjHq06qOTLrvjhbCBvkeuF
wi3qQCeCun95YGOfZ9FfpL24cyJwgwTSBbtV/zo7DnNj2H9NONgPsuy5PrwMxYeNQWikbADm1+va
4e2OGgXunhsDLXHDQpJAQfCr+aCSScuSeRmlQ10a8t5lk7hS07CwVNod29eH24POhNE1kXZ2oPuD
sv+iML/gjsEdSQeu2b5+Oi0FxMLP2CNf5t7hLQp5/0WB/zYaHTozr2PAtvtzycD9gk3UMLeL5lAX
hbr/fLCB3ATB5e0q8fOiYD6oML8d6/XqeoDz4eWmt18dDdhmGnTBfrkoLBtCoq283GAPbxD0/csn
8wuaAehJivkyCB/KJ45LZgI940Oto4X5737HJaIK1oJCFhXf8f2WQIUtkkFAn16G51CPiM+YCGhN
AJnQF7191XdDodhfWCfEdAqhykEWj8rLhr3PlqAiocGfSlTKO+smxfgC+s6WAQYhXgd7ROy/O2oM
BWch7gO7Nwbulhh5sS0c7CAo+6MMxhcNJRV3y5df967WFP4g5AKph1o3qXvvjtrWth20CS+1t0n/
fmdwvpCEYqGDhukqXoe6P+wPRJN/zN7A93wFXHZcLmEOKwi/D/a03L+O1hG9q7hIvV0mfi4ZOCnw
/wenZaDE61A3SVxx9y8cdNqUEN+2X/QjAEeXzuTHOlTyA10U+t6bJNUTnVhErNqvoFgsjCHoYxF5
sItifwQOxEWYMBjy6+3y50VBiwppAvNANK8Osnx6bSDuUz4BM5Ccx2L4NZNDxUaDC9XLrDu8G9Ur
SLzPIDhfFFEyWdZrDcn29+64xDeVKtvUiHY70Jmg7b0nQGkSZikiPG1bEYia4P0gEK4mQ7ZVDrY9
o+49CECPurPV/bzerT/cLtk58fYiTfFQl8OHFL1/zuZhOWgqOXX43GxfHzZGyG3MFLDoQz0dXo+t
ffYEKiIH+JVBeCkU+H2/Xw5QWCgTZGrsA90TPggP/vlMgNdFZKH4lj9/ezB61JkKUMuBfvvX690+
UwBE1cShmvSrX0wBWnQKTanDXQevW/U+gyBwZ0AFwXXdvj6cjaCNIiEYa/ADnQnCXms/tBGfFocs
Y/oQrzsiZcD7zUD+wo0BvajI2TjIUlG4zuw5CBqiXdlA6PMyET4iKxAg4XbQkDpUOEGoifccBINd
XyVNmADS3cuB6yMDBHfhYAdhf+DZ5voI4ZcxeCkQPiwHUUaJ/wDEidehnhHCbHXP+cCcBzYBXHrt
NuyolcTtiUPiYHeG/TE2MHjE9wY4/E/7IoizAswA3en1UnGou+NnoAnQ91BMvX3TD2uCepHYaVbF
wa6Gl8vtfsWCruGpifJju+4/sNuAVJgpps5QHehM0PcvFnREuXg504vZfZEWzA3H1nQFRtP2daBD
8cEv7x/fH8AZabuZYM+/GAqhA2Ag4Pq9wLEHuzT2529AejRlja70y5H4cWnIX/gh84ZS+pDPTGP/
oYC+xRfV5F9pAwSVxaGfa8ov9drhYY76/oWkRZtBRgNCuPL29aEvxeUSO0kEFIc6CK+I8D7nhfAB
gu4MkvQyCKz/n+9VLBmFLKtDhduMvUtIQWWhGU399Hoc7KgcBALDcXGo26PxcvXfZyYICF6BpQF/
7VfLwaBFa9O1+tePy39h4/hLoDz1g/hpK03GPnGXgvlXf+FNk/vx5z8Ij7ei23d/U0iVX978RZ4s
/v9/vFcub2UgP/z0TRayfafXf//6FT+++bs3e/teb3+4Cp7LTfnoD9sfDK8f9GyToG3+z5j/etr8
KBkGAtVEg+Ttz3bLrP+6Sf3+6bjFPb896G9NthCh/v1VP2q4/7WHJ5unrHx70A8PZ+Hs/fBJU9e7
Pjgb997Pnm7iTcuvpHp71g+fnfm+//OzuKk+/EopNDjMP+HhaV1u/phmO6MJBXS891vMnuM/zrJy
5/iz9+z9/Hn8xywrmTxvz/ph/NmO937+osSSddfDOdv3fvgyfk7Tt+f88ME/Y7mumuRbFj/VHx8v
OJx7f/R1kj+XwSZ+e9Tfn14wA/d/fDrsGHTlM1bs8XO5Y8xFV3DvT30cpN6OjUBoCvZ+9skm2rGH
Cbb0Jzy6qp53jclnLNCTrPrjP1PvOX7eNTKfsURPN09swG/j8MNE/Iwleropg11D8xlLVDw7z3bt
7oJIuPev9fQ5fcoeg127l2BefMLzy8fnp7cH/T3uQtuz/8MzPvvbc3549mcs09Ns55h8xirl0fVz
+Tzs+OSfsVLPNvmOiS565nsP+Nlzu/lYO5Ic+BlL9LzcsAW8fcoffp2fsUQv4s3j847aUfRx9h6W
i7hJdhV3ojW598OvAkrHKnjaMTKi67f38683jyVXgrTecZZqn7FKrzfpH5NnjD53vcFnLNWXNyjT
Tfm0cyMTuu5PGKb0j1nw7O36Ep+xasWXWLACHoPqcdd7fMbyFe9xlG2KZtdpJUSunzJKJ01Q/XH+
LajyXd/jMxaz+B6nm/p51/M/Yz3z/Hrzx2RTftvsqhlEE+EzRor3mOKmvWOzFk2kz3qHshnfHvb3
nip0avu/we/i6rembHsgCddgGDuH5lMW8+8TP/f+7Fm82VU9CA7N/qNOYbIryUh4wO7/8HqDCWW8
aXbU4QIV3/8NBMyy4xwWvMa9H/7bkKd9f6k31PhBvaNoExjx/h/9d776e3/0BoAo2YXLCZB/78/+
J09odq1V0Uza++m/sVDed1wemm87Nl8Bd/8Xn3oXLPuXrc9HsPbN3XHXP3uPRYu/8Rg/b8r/+P8A
AAD//w==</cx:binary>
              </cx:geoCache>
            </cx:geography>
          </cx:layoutPr>
        </cx:series>
      </cx:plotAreaRegion>
    </cx:plotArea>
  </cx:chart>
  <cx:spPr>
    <a:solidFill>
      <a:schemeClr val="bg2">
        <a:lumMod val="90000"/>
      </a:schemeClr>
    </a:solidFill>
    <a:ln>
      <a:noFill/>
    </a:ln>
  </cx:spPr>
</cx: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7.xml><?xml version="1.0" encoding="utf-8"?>
<cs:colorStyle xmlns:cs="http://schemas.microsoft.com/office/drawing/2012/chartStyle" xmlns:a="http://schemas.openxmlformats.org/drawingml/2006/main" meth="withinLinear" id="19">
  <a:schemeClr val="accent6"/>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5">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mods="ignoreCSTransforms">
      <cs:styleClr val="0">
        <a:shade val="25000"/>
      </cs:styl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mods="ignoreCSTransforms">
      <cs:styleClr val="0">
        <a:tint val="25000"/>
      </cs:styl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2.png"/><Relationship Id="rId7" Type="http://schemas.openxmlformats.org/officeDocument/2006/relationships/chart" Target="../charts/chart3.xml"/><Relationship Id="rId12" Type="http://schemas.openxmlformats.org/officeDocument/2006/relationships/chart" Target="../charts/chart6.xml"/><Relationship Id="rId2" Type="http://schemas.openxmlformats.org/officeDocument/2006/relationships/hyperlink" Target="https://chandoo.org/wp/" TargetMode="External"/><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chart" Target="../charts/chart5.xml"/><Relationship Id="rId5" Type="http://schemas.openxmlformats.org/officeDocument/2006/relationships/image" Target="../media/image3.emf"/><Relationship Id="rId10" Type="http://schemas.microsoft.com/office/2014/relationships/chartEx" Target="../charts/chartEx2.xml"/><Relationship Id="rId4" Type="http://schemas.openxmlformats.org/officeDocument/2006/relationships/chart" Target="../charts/chart1.xml"/><Relationship Id="rId9" Type="http://schemas.microsoft.com/office/2014/relationships/chartEx" Target="../charts/chartEx1.xml"/></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s://chandoo.org/wp/" TargetMode="External"/><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hyperlink" Target="https://chandoo.org/wp/excel-school-program/" TargetMode="External"/></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2</xdr:col>
      <xdr:colOff>136056</xdr:colOff>
      <xdr:row>0</xdr:row>
      <xdr:rowOff>1</xdr:rowOff>
    </xdr:from>
    <xdr:to>
      <xdr:col>26</xdr:col>
      <xdr:colOff>427790</xdr:colOff>
      <xdr:row>43</xdr:row>
      <xdr:rowOff>13370</xdr:rowOff>
    </xdr:to>
    <xdr:sp macro="" textlink="">
      <xdr:nvSpPr>
        <xdr:cNvPr id="3" name="Rectangle 2">
          <a:extLst>
            <a:ext uri="{FF2B5EF4-FFF2-40B4-BE49-F238E27FC236}">
              <a16:creationId xmlns:a16="http://schemas.microsoft.com/office/drawing/2014/main" id="{512E711C-2A24-4D4D-87BA-83E9FC8B40D0}"/>
            </a:ext>
          </a:extLst>
        </xdr:cNvPr>
        <xdr:cNvSpPr/>
      </xdr:nvSpPr>
      <xdr:spPr>
        <a:xfrm>
          <a:off x="1887319" y="1"/>
          <a:ext cx="13887418" cy="8061158"/>
        </a:xfrm>
        <a:prstGeom prst="rect">
          <a:avLst/>
        </a:prstGeom>
        <a:solidFill>
          <a:schemeClr val="tx2">
            <a:lumMod val="25000"/>
            <a:lumOff val="75000"/>
          </a:schemeClr>
        </a:solidFill>
        <a:ln>
          <a:noFill/>
        </a:ln>
        <a:effectLst>
          <a:outerShdw blurRad="254000" dist="127000" algn="l"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3</xdr:col>
      <xdr:colOff>0</xdr:colOff>
      <xdr:row>43</xdr:row>
      <xdr:rowOff>0</xdr:rowOff>
    </xdr:to>
    <xdr:sp macro="" textlink="">
      <xdr:nvSpPr>
        <xdr:cNvPr id="2" name="Rectangle 1">
          <a:extLst>
            <a:ext uri="{FF2B5EF4-FFF2-40B4-BE49-F238E27FC236}">
              <a16:creationId xmlns:a16="http://schemas.microsoft.com/office/drawing/2014/main" id="{C0CF5D1E-2563-41D5-BA29-5EAAC61A9C34}"/>
            </a:ext>
          </a:extLst>
        </xdr:cNvPr>
        <xdr:cNvSpPr/>
      </xdr:nvSpPr>
      <xdr:spPr>
        <a:xfrm>
          <a:off x="0" y="0"/>
          <a:ext cx="1981200" cy="7863840"/>
        </a:xfrm>
        <a:prstGeom prst="rect">
          <a:avLst/>
        </a:prstGeom>
        <a:solidFill>
          <a:schemeClr val="tx2">
            <a:lumMod val="75000"/>
            <a:lumOff val="25000"/>
          </a:schemeClr>
        </a:solidFill>
        <a:ln>
          <a:noFill/>
        </a:ln>
        <a:effectLst>
          <a:outerShdw blurRad="254000" dist="127000" algn="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206339</xdr:colOff>
      <xdr:row>0</xdr:row>
      <xdr:rowOff>101429</xdr:rowOff>
    </xdr:from>
    <xdr:to>
      <xdr:col>2</xdr:col>
      <xdr:colOff>0</xdr:colOff>
      <xdr:row>3</xdr:row>
      <xdr:rowOff>0</xdr:rowOff>
    </xdr:to>
    <xdr:pic>
      <xdr:nvPicPr>
        <xdr:cNvPr id="4" name="Picture 3">
          <a:extLst>
            <a:ext uri="{FF2B5EF4-FFF2-40B4-BE49-F238E27FC236}">
              <a16:creationId xmlns:a16="http://schemas.microsoft.com/office/drawing/2014/main" id="{687DA6DE-9337-4C9B-AF91-2F77566903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06339" y="101429"/>
          <a:ext cx="1546261" cy="447211"/>
        </a:xfrm>
        <a:prstGeom prst="rect">
          <a:avLst/>
        </a:prstGeom>
      </xdr:spPr>
    </xdr:pic>
    <xdr:clientData/>
  </xdr:twoCellAnchor>
  <xdr:twoCellAnchor editAs="oneCell">
    <xdr:from>
      <xdr:col>22</xdr:col>
      <xdr:colOff>304800</xdr:colOff>
      <xdr:row>1</xdr:row>
      <xdr:rowOff>0</xdr:rowOff>
    </xdr:from>
    <xdr:to>
      <xdr:col>25</xdr:col>
      <xdr:colOff>0</xdr:colOff>
      <xdr:row>3</xdr:row>
      <xdr:rowOff>67829</xdr:rowOff>
    </xdr:to>
    <xdr:pic>
      <xdr:nvPicPr>
        <xdr:cNvPr id="6" name="Picture 5">
          <a:hlinkClick xmlns:r="http://schemas.openxmlformats.org/officeDocument/2006/relationships" r:id="rId2"/>
          <a:extLst>
            <a:ext uri="{FF2B5EF4-FFF2-40B4-BE49-F238E27FC236}">
              <a16:creationId xmlns:a16="http://schemas.microsoft.com/office/drawing/2014/main" id="{46E40EAC-D019-CE2B-01E2-EC0A7137278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3487400" y="182880"/>
          <a:ext cx="1524000" cy="433589"/>
        </a:xfrm>
        <a:prstGeom prst="rect">
          <a:avLst/>
        </a:prstGeom>
      </xdr:spPr>
    </xdr:pic>
    <xdr:clientData/>
  </xdr:twoCellAnchor>
  <xdr:twoCellAnchor>
    <xdr:from>
      <xdr:col>0</xdr:col>
      <xdr:colOff>76200</xdr:colOff>
      <xdr:row>4</xdr:row>
      <xdr:rowOff>134620</xdr:rowOff>
    </xdr:from>
    <xdr:to>
      <xdr:col>1</xdr:col>
      <xdr:colOff>1409700</xdr:colOff>
      <xdr:row>6</xdr:row>
      <xdr:rowOff>119380</xdr:rowOff>
    </xdr:to>
    <xdr:sp macro="" textlink="pivot!G4">
      <xdr:nvSpPr>
        <xdr:cNvPr id="5" name="TextBox 4">
          <a:extLst>
            <a:ext uri="{FF2B5EF4-FFF2-40B4-BE49-F238E27FC236}">
              <a16:creationId xmlns:a16="http://schemas.microsoft.com/office/drawing/2014/main" id="{581FCDC5-7B3C-B673-2C4D-B5CA6FDF1965}"/>
            </a:ext>
          </a:extLst>
        </xdr:cNvPr>
        <xdr:cNvSpPr txBox="1"/>
      </xdr:nvSpPr>
      <xdr:spPr>
        <a:xfrm>
          <a:off x="76200" y="866140"/>
          <a:ext cx="156210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7D8ABC6-E0E4-42DF-82CF-6E35A792C7D2}" type="TxLink">
            <a:rPr lang="en-US" sz="1800" b="1" i="0" u="none" strike="noStrike">
              <a:gradFill>
                <a:gsLst>
                  <a:gs pos="0">
                    <a:schemeClr val="bg1">
                      <a:lumMod val="95000"/>
                    </a:schemeClr>
                  </a:gs>
                  <a:gs pos="80000">
                    <a:schemeClr val="bg1">
                      <a:lumMod val="65000"/>
                    </a:schemeClr>
                  </a:gs>
                </a:gsLst>
                <a:lin ang="5400000" scaled="1"/>
              </a:gradFill>
              <a:effectLst>
                <a:outerShdw blurRad="50800" dist="38100" dir="5400000" algn="t" rotWithShape="0">
                  <a:prstClr val="black">
                    <a:alpha val="40000"/>
                  </a:prstClr>
                </a:outerShdw>
              </a:effectLst>
              <a:latin typeface="+mn-lt"/>
            </a:rPr>
            <a:pPr/>
            <a:t>2,400</a:t>
          </a:fld>
          <a:endParaRPr lang="en-IN" sz="1800" b="1">
            <a:gradFill>
              <a:gsLst>
                <a:gs pos="0">
                  <a:schemeClr val="bg1">
                    <a:lumMod val="95000"/>
                  </a:schemeClr>
                </a:gs>
                <a:gs pos="80000">
                  <a:schemeClr val="bg1">
                    <a:lumMod val="65000"/>
                  </a:schemeClr>
                </a:gs>
              </a:gsLst>
              <a:lin ang="5400000" scaled="1"/>
            </a:gradFill>
            <a:effectLst>
              <a:outerShdw blurRad="50800" dist="38100" dir="5400000" algn="t" rotWithShape="0">
                <a:prstClr val="black">
                  <a:alpha val="40000"/>
                </a:prstClr>
              </a:outerShdw>
            </a:effectLst>
            <a:latin typeface="+mn-lt"/>
          </a:endParaRPr>
        </a:p>
      </xdr:txBody>
    </xdr:sp>
    <xdr:clientData/>
  </xdr:twoCellAnchor>
  <xdr:twoCellAnchor>
    <xdr:from>
      <xdr:col>0</xdr:col>
      <xdr:colOff>76200</xdr:colOff>
      <xdr:row>8</xdr:row>
      <xdr:rowOff>38100</xdr:rowOff>
    </xdr:from>
    <xdr:to>
      <xdr:col>1</xdr:col>
      <xdr:colOff>1409700</xdr:colOff>
      <xdr:row>10</xdr:row>
      <xdr:rowOff>0</xdr:rowOff>
    </xdr:to>
    <xdr:sp macro="" textlink="pivot!H4">
      <xdr:nvSpPr>
        <xdr:cNvPr id="8" name="TextBox 7">
          <a:extLst>
            <a:ext uri="{FF2B5EF4-FFF2-40B4-BE49-F238E27FC236}">
              <a16:creationId xmlns:a16="http://schemas.microsoft.com/office/drawing/2014/main" id="{87DA65FC-62E4-432A-9ECF-B74D56748522}"/>
            </a:ext>
          </a:extLst>
        </xdr:cNvPr>
        <xdr:cNvSpPr txBox="1"/>
      </xdr:nvSpPr>
      <xdr:spPr>
        <a:xfrm>
          <a:off x="76200" y="1501140"/>
          <a:ext cx="156210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7C3448C-5974-4AD4-9CAA-0E44FD2E91ED}" type="TxLink">
            <a:rPr lang="en-US" sz="1800" b="1" i="0" u="none" strike="noStrike">
              <a:gradFill>
                <a:gsLst>
                  <a:gs pos="0">
                    <a:schemeClr val="bg1">
                      <a:lumMod val="95000"/>
                    </a:schemeClr>
                  </a:gs>
                  <a:gs pos="80000">
                    <a:schemeClr val="bg1">
                      <a:lumMod val="65000"/>
                    </a:schemeClr>
                  </a:gs>
                </a:gsLst>
                <a:lin ang="5400000" scaled="1"/>
              </a:gradFill>
              <a:effectLst>
                <a:outerShdw blurRad="50800" dist="38100" dir="5400000" algn="t" rotWithShape="0">
                  <a:prstClr val="black">
                    <a:alpha val="40000"/>
                  </a:prstClr>
                </a:outerShdw>
              </a:effectLst>
              <a:latin typeface="+mn-lt"/>
              <a:ea typeface="+mn-ea"/>
              <a:cs typeface="+mn-cs"/>
            </a:rPr>
            <a:pPr marL="0" indent="0"/>
            <a:t>11,997</a:t>
          </a:fld>
          <a:endParaRPr lang="en-IN" sz="1800" b="1" i="0" u="none" strike="noStrike">
            <a:gradFill>
              <a:gsLst>
                <a:gs pos="0">
                  <a:schemeClr val="bg1">
                    <a:lumMod val="95000"/>
                  </a:schemeClr>
                </a:gs>
                <a:gs pos="80000">
                  <a:schemeClr val="bg1">
                    <a:lumMod val="65000"/>
                  </a:schemeClr>
                </a:gs>
              </a:gsLst>
              <a:lin ang="5400000" scaled="1"/>
            </a:gradFill>
            <a:effectLst>
              <a:outerShdw blurRad="50800" dist="38100" dir="5400000" algn="t" rotWithShape="0">
                <a:prstClr val="black">
                  <a:alpha val="40000"/>
                </a:prstClr>
              </a:outerShdw>
            </a:effectLst>
            <a:latin typeface="+mn-lt"/>
            <a:ea typeface="+mn-ea"/>
            <a:cs typeface="+mn-cs"/>
          </a:endParaRPr>
        </a:p>
      </xdr:txBody>
    </xdr:sp>
    <xdr:clientData/>
  </xdr:twoCellAnchor>
  <xdr:twoCellAnchor>
    <xdr:from>
      <xdr:col>0</xdr:col>
      <xdr:colOff>76200</xdr:colOff>
      <xdr:row>11</xdr:row>
      <xdr:rowOff>101600</xdr:rowOff>
    </xdr:from>
    <xdr:to>
      <xdr:col>1</xdr:col>
      <xdr:colOff>1409700</xdr:colOff>
      <xdr:row>13</xdr:row>
      <xdr:rowOff>55880</xdr:rowOff>
    </xdr:to>
    <xdr:sp macro="" textlink="pivot!I4">
      <xdr:nvSpPr>
        <xdr:cNvPr id="9" name="TextBox 8">
          <a:extLst>
            <a:ext uri="{FF2B5EF4-FFF2-40B4-BE49-F238E27FC236}">
              <a16:creationId xmlns:a16="http://schemas.microsoft.com/office/drawing/2014/main" id="{92780AD4-A9E1-4A1C-900B-4C8F0497D3EB}"/>
            </a:ext>
          </a:extLst>
        </xdr:cNvPr>
        <xdr:cNvSpPr txBox="1"/>
      </xdr:nvSpPr>
      <xdr:spPr>
        <a:xfrm>
          <a:off x="76200" y="2113280"/>
          <a:ext cx="156210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AD55775-247A-4690-BCF6-056C421E1263}" type="TxLink">
            <a:rPr lang="en-US" sz="1800" b="1" i="0" u="none" strike="noStrike">
              <a:gradFill>
                <a:gsLst>
                  <a:gs pos="0">
                    <a:schemeClr val="bg1">
                      <a:lumMod val="95000"/>
                    </a:schemeClr>
                  </a:gs>
                  <a:gs pos="80000">
                    <a:schemeClr val="bg1">
                      <a:lumMod val="65000"/>
                    </a:schemeClr>
                  </a:gs>
                </a:gsLst>
                <a:lin ang="5400000" scaled="1"/>
              </a:gradFill>
              <a:effectLst>
                <a:outerShdw blurRad="50800" dist="38100" dir="5400000" algn="t" rotWithShape="0">
                  <a:prstClr val="black">
                    <a:alpha val="40000"/>
                  </a:prstClr>
                </a:outerShdw>
              </a:effectLst>
              <a:latin typeface="+mn-lt"/>
              <a:ea typeface="+mn-ea"/>
              <a:cs typeface="+mn-cs"/>
            </a:rPr>
            <a:pPr marL="0" indent="0"/>
            <a:t>$649.0k</a:t>
          </a:fld>
          <a:endParaRPr lang="en-IN" sz="1800" b="1" i="0" u="none" strike="noStrike">
            <a:gradFill>
              <a:gsLst>
                <a:gs pos="0">
                  <a:schemeClr val="bg1">
                    <a:lumMod val="95000"/>
                  </a:schemeClr>
                </a:gs>
                <a:gs pos="80000">
                  <a:schemeClr val="bg1">
                    <a:lumMod val="65000"/>
                  </a:schemeClr>
                </a:gs>
              </a:gsLst>
              <a:lin ang="5400000" scaled="1"/>
            </a:gradFill>
            <a:effectLst>
              <a:outerShdw blurRad="50800" dist="38100" dir="5400000" algn="t" rotWithShape="0">
                <a:prstClr val="black">
                  <a:alpha val="40000"/>
                </a:prstClr>
              </a:outerShdw>
            </a:effectLst>
            <a:latin typeface="+mn-lt"/>
            <a:ea typeface="+mn-ea"/>
            <a:cs typeface="+mn-cs"/>
          </a:endParaRPr>
        </a:p>
      </xdr:txBody>
    </xdr:sp>
    <xdr:clientData/>
  </xdr:twoCellAnchor>
  <xdr:twoCellAnchor>
    <xdr:from>
      <xdr:col>0</xdr:col>
      <xdr:colOff>76200</xdr:colOff>
      <xdr:row>14</xdr:row>
      <xdr:rowOff>157480</xdr:rowOff>
    </xdr:from>
    <xdr:to>
      <xdr:col>1</xdr:col>
      <xdr:colOff>1409700</xdr:colOff>
      <xdr:row>16</xdr:row>
      <xdr:rowOff>149860</xdr:rowOff>
    </xdr:to>
    <xdr:sp macro="" textlink="pivot!J4">
      <xdr:nvSpPr>
        <xdr:cNvPr id="10" name="TextBox 9">
          <a:extLst>
            <a:ext uri="{FF2B5EF4-FFF2-40B4-BE49-F238E27FC236}">
              <a16:creationId xmlns:a16="http://schemas.microsoft.com/office/drawing/2014/main" id="{77EF2F66-A1A8-4A93-9D98-CFD2BAA2359F}"/>
            </a:ext>
          </a:extLst>
        </xdr:cNvPr>
        <xdr:cNvSpPr txBox="1"/>
      </xdr:nvSpPr>
      <xdr:spPr>
        <a:xfrm>
          <a:off x="76200" y="2717800"/>
          <a:ext cx="156210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E16F4C4-9EF1-491F-97AE-2779A17DFDFB}" type="TxLink">
            <a:rPr lang="en-US" sz="1800" b="1" i="0" u="none" strike="noStrike">
              <a:gradFill>
                <a:gsLst>
                  <a:gs pos="0">
                    <a:schemeClr val="bg1">
                      <a:lumMod val="95000"/>
                    </a:schemeClr>
                  </a:gs>
                  <a:gs pos="80000">
                    <a:schemeClr val="bg1">
                      <a:lumMod val="65000"/>
                    </a:schemeClr>
                  </a:gs>
                </a:gsLst>
                <a:lin ang="5400000" scaled="1"/>
              </a:gradFill>
              <a:effectLst>
                <a:outerShdw blurRad="50800" dist="38100" dir="5400000" algn="t" rotWithShape="0">
                  <a:prstClr val="black">
                    <a:alpha val="40000"/>
                  </a:prstClr>
                </a:outerShdw>
              </a:effectLst>
              <a:latin typeface="+mn-lt"/>
              <a:ea typeface="+mn-ea"/>
              <a:cs typeface="+mn-cs"/>
            </a:rPr>
            <a:pPr marL="0" indent="0"/>
            <a:t>4.0</a:t>
          </a:fld>
          <a:endParaRPr lang="en-IN" sz="1800" b="1" i="0" u="none" strike="noStrike">
            <a:gradFill>
              <a:gsLst>
                <a:gs pos="0">
                  <a:schemeClr val="bg1">
                    <a:lumMod val="95000"/>
                  </a:schemeClr>
                </a:gs>
                <a:gs pos="80000">
                  <a:schemeClr val="bg1">
                    <a:lumMod val="65000"/>
                  </a:schemeClr>
                </a:gs>
              </a:gsLst>
              <a:lin ang="5400000" scaled="1"/>
            </a:gradFill>
            <a:effectLst>
              <a:outerShdw blurRad="50800" dist="38100" dir="5400000" algn="t" rotWithShape="0">
                <a:prstClr val="black">
                  <a:alpha val="40000"/>
                </a:prstClr>
              </a:outerShdw>
            </a:effectLst>
            <a:latin typeface="+mn-lt"/>
            <a:ea typeface="+mn-ea"/>
            <a:cs typeface="+mn-cs"/>
          </a:endParaRPr>
        </a:p>
      </xdr:txBody>
    </xdr:sp>
    <xdr:clientData/>
  </xdr:twoCellAnchor>
  <xdr:twoCellAnchor>
    <xdr:from>
      <xdr:col>0</xdr:col>
      <xdr:colOff>76200</xdr:colOff>
      <xdr:row>18</xdr:row>
      <xdr:rowOff>68580</xdr:rowOff>
    </xdr:from>
    <xdr:to>
      <xdr:col>1</xdr:col>
      <xdr:colOff>1409700</xdr:colOff>
      <xdr:row>20</xdr:row>
      <xdr:rowOff>22860</xdr:rowOff>
    </xdr:to>
    <xdr:sp macro="" textlink="pivot!K4">
      <xdr:nvSpPr>
        <xdr:cNvPr id="11" name="TextBox 10">
          <a:extLst>
            <a:ext uri="{FF2B5EF4-FFF2-40B4-BE49-F238E27FC236}">
              <a16:creationId xmlns:a16="http://schemas.microsoft.com/office/drawing/2014/main" id="{DA1F0BBE-A6A4-4D35-BE04-BACBD461321A}"/>
            </a:ext>
          </a:extLst>
        </xdr:cNvPr>
        <xdr:cNvSpPr txBox="1"/>
      </xdr:nvSpPr>
      <xdr:spPr>
        <a:xfrm>
          <a:off x="76200" y="3360420"/>
          <a:ext cx="156210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6D1AEEA-EFDD-49B2-9B28-F98CDE068FEE}" type="TxLink">
            <a:rPr lang="en-US" sz="1800" b="1" i="0" u="none" strike="noStrike">
              <a:gradFill>
                <a:gsLst>
                  <a:gs pos="0">
                    <a:schemeClr val="bg1">
                      <a:lumMod val="95000"/>
                    </a:schemeClr>
                  </a:gs>
                  <a:gs pos="80000">
                    <a:schemeClr val="bg1">
                      <a:lumMod val="65000"/>
                    </a:schemeClr>
                  </a:gs>
                </a:gsLst>
                <a:lin ang="5400000" scaled="1"/>
              </a:gradFill>
              <a:effectLst>
                <a:outerShdw blurRad="50800" dist="38100" dir="5400000" algn="t" rotWithShape="0">
                  <a:prstClr val="black">
                    <a:alpha val="40000"/>
                  </a:prstClr>
                </a:outerShdw>
              </a:effectLst>
              <a:latin typeface="+mn-lt"/>
              <a:ea typeface="+mn-ea"/>
              <a:cs typeface="+mn-cs"/>
            </a:rPr>
            <a:pPr marL="0" indent="0"/>
            <a:t>2.3</a:t>
          </a:fld>
          <a:endParaRPr lang="en-IN" sz="1800" b="1" i="0" u="none" strike="noStrike">
            <a:gradFill>
              <a:gsLst>
                <a:gs pos="0">
                  <a:schemeClr val="bg1">
                    <a:lumMod val="95000"/>
                  </a:schemeClr>
                </a:gs>
                <a:gs pos="80000">
                  <a:schemeClr val="bg1">
                    <a:lumMod val="65000"/>
                  </a:schemeClr>
                </a:gs>
              </a:gsLst>
              <a:lin ang="5400000" scaled="1"/>
            </a:gradFill>
            <a:effectLst>
              <a:outerShdw blurRad="50800" dist="38100" dir="5400000" algn="t" rotWithShape="0">
                <a:prstClr val="black">
                  <a:alpha val="40000"/>
                </a:prstClr>
              </a:outerShdw>
            </a:effectLst>
            <a:latin typeface="+mn-lt"/>
            <a:ea typeface="+mn-ea"/>
            <a:cs typeface="+mn-cs"/>
          </a:endParaRPr>
        </a:p>
      </xdr:txBody>
    </xdr:sp>
    <xdr:clientData/>
  </xdr:twoCellAnchor>
  <xdr:twoCellAnchor>
    <xdr:from>
      <xdr:col>0</xdr:col>
      <xdr:colOff>76200</xdr:colOff>
      <xdr:row>3</xdr:row>
      <xdr:rowOff>76200</xdr:rowOff>
    </xdr:from>
    <xdr:to>
      <xdr:col>1</xdr:col>
      <xdr:colOff>1135380</xdr:colOff>
      <xdr:row>4</xdr:row>
      <xdr:rowOff>91440</xdr:rowOff>
    </xdr:to>
    <xdr:sp macro="" textlink="">
      <xdr:nvSpPr>
        <xdr:cNvPr id="15" name="TextBox 14">
          <a:extLst>
            <a:ext uri="{FF2B5EF4-FFF2-40B4-BE49-F238E27FC236}">
              <a16:creationId xmlns:a16="http://schemas.microsoft.com/office/drawing/2014/main" id="{1F8F03E6-4E7D-B028-3E7E-2F64D2837363}"/>
            </a:ext>
          </a:extLst>
        </xdr:cNvPr>
        <xdr:cNvSpPr txBox="1"/>
      </xdr:nvSpPr>
      <xdr:spPr>
        <a:xfrm>
          <a:off x="76200" y="624840"/>
          <a:ext cx="128778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 </a:t>
          </a:r>
          <a:r>
            <a:rPr lang="en-IN" sz="1100">
              <a:solidFill>
                <a:schemeClr val="bg1"/>
              </a:solidFill>
            </a:rPr>
            <a:t>Orders</a:t>
          </a:r>
        </a:p>
      </xdr:txBody>
    </xdr:sp>
    <xdr:clientData/>
  </xdr:twoCellAnchor>
  <xdr:twoCellAnchor>
    <xdr:from>
      <xdr:col>0</xdr:col>
      <xdr:colOff>76200</xdr:colOff>
      <xdr:row>6</xdr:row>
      <xdr:rowOff>162560</xdr:rowOff>
    </xdr:from>
    <xdr:to>
      <xdr:col>1</xdr:col>
      <xdr:colOff>1135380</xdr:colOff>
      <xdr:row>8</xdr:row>
      <xdr:rowOff>53340</xdr:rowOff>
    </xdr:to>
    <xdr:sp macro="" textlink="">
      <xdr:nvSpPr>
        <xdr:cNvPr id="16" name="TextBox 15">
          <a:extLst>
            <a:ext uri="{FF2B5EF4-FFF2-40B4-BE49-F238E27FC236}">
              <a16:creationId xmlns:a16="http://schemas.microsoft.com/office/drawing/2014/main" id="{61F525F6-55EB-425B-90FE-DCB5235668C6}"/>
            </a:ext>
          </a:extLst>
        </xdr:cNvPr>
        <xdr:cNvSpPr txBox="1"/>
      </xdr:nvSpPr>
      <xdr:spPr>
        <a:xfrm>
          <a:off x="76200" y="1259840"/>
          <a:ext cx="1287780" cy="2565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 Quantity</a:t>
          </a:r>
          <a:endParaRPr lang="en-IN" sz="1100">
            <a:solidFill>
              <a:schemeClr val="bg1"/>
            </a:solidFill>
          </a:endParaRPr>
        </a:p>
      </xdr:txBody>
    </xdr:sp>
    <xdr:clientData/>
  </xdr:twoCellAnchor>
  <xdr:twoCellAnchor>
    <xdr:from>
      <xdr:col>0</xdr:col>
      <xdr:colOff>76200</xdr:colOff>
      <xdr:row>10</xdr:row>
      <xdr:rowOff>43180</xdr:rowOff>
    </xdr:from>
    <xdr:to>
      <xdr:col>1</xdr:col>
      <xdr:colOff>1135380</xdr:colOff>
      <xdr:row>11</xdr:row>
      <xdr:rowOff>99060</xdr:rowOff>
    </xdr:to>
    <xdr:sp macro="" textlink="">
      <xdr:nvSpPr>
        <xdr:cNvPr id="17" name="TextBox 16">
          <a:extLst>
            <a:ext uri="{FF2B5EF4-FFF2-40B4-BE49-F238E27FC236}">
              <a16:creationId xmlns:a16="http://schemas.microsoft.com/office/drawing/2014/main" id="{2E1F8651-B7F7-40C1-A628-E2BB3D0F53D1}"/>
            </a:ext>
          </a:extLst>
        </xdr:cNvPr>
        <xdr:cNvSpPr txBox="1"/>
      </xdr:nvSpPr>
      <xdr:spPr>
        <a:xfrm>
          <a:off x="76200" y="1871980"/>
          <a:ext cx="1287780" cy="238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 Amount</a:t>
          </a:r>
          <a:endParaRPr lang="en-IN" sz="1100">
            <a:solidFill>
              <a:schemeClr val="bg1"/>
            </a:solidFill>
          </a:endParaRPr>
        </a:p>
      </xdr:txBody>
    </xdr:sp>
    <xdr:clientData/>
  </xdr:twoCellAnchor>
  <xdr:twoCellAnchor>
    <xdr:from>
      <xdr:col>0</xdr:col>
      <xdr:colOff>76200</xdr:colOff>
      <xdr:row>13</xdr:row>
      <xdr:rowOff>99060</xdr:rowOff>
    </xdr:from>
    <xdr:to>
      <xdr:col>1</xdr:col>
      <xdr:colOff>1135380</xdr:colOff>
      <xdr:row>14</xdr:row>
      <xdr:rowOff>167640</xdr:rowOff>
    </xdr:to>
    <xdr:sp macro="" textlink="">
      <xdr:nvSpPr>
        <xdr:cNvPr id="18" name="TextBox 17">
          <a:extLst>
            <a:ext uri="{FF2B5EF4-FFF2-40B4-BE49-F238E27FC236}">
              <a16:creationId xmlns:a16="http://schemas.microsoft.com/office/drawing/2014/main" id="{6D463C09-CD3F-4090-BCE1-B76D75670A12}"/>
            </a:ext>
          </a:extLst>
        </xdr:cNvPr>
        <xdr:cNvSpPr txBox="1"/>
      </xdr:nvSpPr>
      <xdr:spPr>
        <a:xfrm>
          <a:off x="76200" y="2476500"/>
          <a:ext cx="128778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 Avg. Rating</a:t>
          </a:r>
          <a:endParaRPr lang="en-IN" sz="1100">
            <a:solidFill>
              <a:schemeClr val="bg1"/>
            </a:solidFill>
          </a:endParaRPr>
        </a:p>
      </xdr:txBody>
    </xdr:sp>
    <xdr:clientData/>
  </xdr:twoCellAnchor>
  <xdr:twoCellAnchor>
    <xdr:from>
      <xdr:col>0</xdr:col>
      <xdr:colOff>76200</xdr:colOff>
      <xdr:row>17</xdr:row>
      <xdr:rowOff>10160</xdr:rowOff>
    </xdr:from>
    <xdr:to>
      <xdr:col>1</xdr:col>
      <xdr:colOff>1135380</xdr:colOff>
      <xdr:row>18</xdr:row>
      <xdr:rowOff>99060</xdr:rowOff>
    </xdr:to>
    <xdr:sp macro="" textlink="">
      <xdr:nvSpPr>
        <xdr:cNvPr id="19" name="TextBox 18">
          <a:extLst>
            <a:ext uri="{FF2B5EF4-FFF2-40B4-BE49-F238E27FC236}">
              <a16:creationId xmlns:a16="http://schemas.microsoft.com/office/drawing/2014/main" id="{3C092940-DD7A-4749-82C1-2FEF6886D475}"/>
            </a:ext>
          </a:extLst>
        </xdr:cNvPr>
        <xdr:cNvSpPr txBox="1"/>
      </xdr:nvSpPr>
      <xdr:spPr>
        <a:xfrm>
          <a:off x="76200" y="3119120"/>
          <a:ext cx="1287780" cy="271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 </a:t>
          </a:r>
          <a:r>
            <a:rPr lang="en-IN" sz="1100">
              <a:solidFill>
                <a:schemeClr val="bg1"/>
              </a:solidFill>
            </a:rPr>
            <a:t>Days</a:t>
          </a:r>
          <a:r>
            <a:rPr lang="en-IN" sz="1100" baseline="0">
              <a:solidFill>
                <a:schemeClr val="bg1"/>
              </a:solidFill>
            </a:rPr>
            <a:t> to Deliver</a:t>
          </a:r>
          <a:endParaRPr lang="en-IN" sz="1100">
            <a:solidFill>
              <a:schemeClr val="bg1"/>
            </a:solidFill>
          </a:endParaRPr>
        </a:p>
      </xdr:txBody>
    </xdr:sp>
    <xdr:clientData/>
  </xdr:twoCellAnchor>
  <xdr:twoCellAnchor>
    <xdr:from>
      <xdr:col>3</xdr:col>
      <xdr:colOff>165652</xdr:colOff>
      <xdr:row>1</xdr:row>
      <xdr:rowOff>0</xdr:rowOff>
    </xdr:from>
    <xdr:to>
      <xdr:col>10</xdr:col>
      <xdr:colOff>121478</xdr:colOff>
      <xdr:row>18</xdr:row>
      <xdr:rowOff>176695</xdr:rowOff>
    </xdr:to>
    <xdr:graphicFrame macro="">
      <xdr:nvGraphicFramePr>
        <xdr:cNvPr id="20" name="Chart 19">
          <a:extLst>
            <a:ext uri="{FF2B5EF4-FFF2-40B4-BE49-F238E27FC236}">
              <a16:creationId xmlns:a16="http://schemas.microsoft.com/office/drawing/2014/main" id="{9140EAE4-C475-4886-BAFF-BF219C4CBD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11044</xdr:colOff>
      <xdr:row>1</xdr:row>
      <xdr:rowOff>0</xdr:rowOff>
    </xdr:from>
    <xdr:to>
      <xdr:col>16</xdr:col>
      <xdr:colOff>375479</xdr:colOff>
      <xdr:row>18</xdr:row>
      <xdr:rowOff>165653</xdr:rowOff>
    </xdr:to>
    <xdr:sp macro="" textlink="">
      <xdr:nvSpPr>
        <xdr:cNvPr id="25" name="Rectangle 24">
          <a:extLst>
            <a:ext uri="{FF2B5EF4-FFF2-40B4-BE49-F238E27FC236}">
              <a16:creationId xmlns:a16="http://schemas.microsoft.com/office/drawing/2014/main" id="{C96C551C-E9F5-F130-88BF-FC97DC260129}"/>
            </a:ext>
          </a:extLst>
        </xdr:cNvPr>
        <xdr:cNvSpPr/>
      </xdr:nvSpPr>
      <xdr:spPr>
        <a:xfrm>
          <a:off x="6515258" y="176893"/>
          <a:ext cx="3426042" cy="317283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11</xdr:col>
          <xdr:colOff>134287</xdr:colOff>
          <xdr:row>5</xdr:row>
          <xdr:rowOff>76973</xdr:rowOff>
        </xdr:from>
        <xdr:to>
          <xdr:col>16</xdr:col>
          <xdr:colOff>232405</xdr:colOff>
          <xdr:row>15</xdr:row>
          <xdr:rowOff>3225</xdr:rowOff>
        </xdr:to>
        <xdr:pic>
          <xdr:nvPicPr>
            <xdr:cNvPr id="26" name="Picture 25">
              <a:extLst>
                <a:ext uri="{FF2B5EF4-FFF2-40B4-BE49-F238E27FC236}">
                  <a16:creationId xmlns:a16="http://schemas.microsoft.com/office/drawing/2014/main" id="{FFC424DB-88EA-393A-14B0-C52AD78AF79B}"/>
                </a:ext>
              </a:extLst>
            </xdr:cNvPr>
            <xdr:cNvPicPr>
              <a:picLocks noChangeAspect="1" noChangeArrowheads="1"/>
              <a:extLst>
                <a:ext uri="{84589F7E-364E-4C9E-8A38-B11213B215E9}">
                  <a14:cameraTool cellRange="Sheet3!$H$4:$L$9" spid="_x0000_s1037"/>
                </a:ext>
              </a:extLst>
            </xdr:cNvPicPr>
          </xdr:nvPicPr>
          <xdr:blipFill>
            <a:blip xmlns:r="http://schemas.openxmlformats.org/officeDocument/2006/relationships" r:embed="rId5"/>
            <a:srcRect/>
            <a:stretch>
              <a:fillRect/>
            </a:stretch>
          </xdr:blipFill>
          <xdr:spPr bwMode="auto">
            <a:xfrm>
              <a:off x="6605765" y="1015669"/>
              <a:ext cx="3135075" cy="1800417"/>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17</xdr:col>
      <xdr:colOff>309217</xdr:colOff>
      <xdr:row>0</xdr:row>
      <xdr:rowOff>163286</xdr:rowOff>
    </xdr:from>
    <xdr:to>
      <xdr:col>26</xdr:col>
      <xdr:colOff>0</xdr:colOff>
      <xdr:row>18</xdr:row>
      <xdr:rowOff>110434</xdr:rowOff>
    </xdr:to>
    <xdr:graphicFrame macro="">
      <xdr:nvGraphicFramePr>
        <xdr:cNvPr id="27" name="Chart 26">
          <a:extLst>
            <a:ext uri="{FF2B5EF4-FFF2-40B4-BE49-F238E27FC236}">
              <a16:creationId xmlns:a16="http://schemas.microsoft.com/office/drawing/2014/main" id="{660C6EFD-27FD-4637-AA96-2F1F6A2356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154121</xdr:colOff>
      <xdr:row>19</xdr:row>
      <xdr:rowOff>72165</xdr:rowOff>
    </xdr:from>
    <xdr:to>
      <xdr:col>10</xdr:col>
      <xdr:colOff>120991</xdr:colOff>
      <xdr:row>42</xdr:row>
      <xdr:rowOff>0</xdr:rowOff>
    </xdr:to>
    <xdr:graphicFrame macro="">
      <xdr:nvGraphicFramePr>
        <xdr:cNvPr id="28" name="Chart 27">
          <a:extLst>
            <a:ext uri="{FF2B5EF4-FFF2-40B4-BE49-F238E27FC236}">
              <a16:creationId xmlns:a16="http://schemas.microsoft.com/office/drawing/2014/main" id="{D14BE107-F785-4B49-A9DE-428880E37D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323905</xdr:colOff>
      <xdr:row>32</xdr:row>
      <xdr:rowOff>99392</xdr:rowOff>
    </xdr:from>
    <xdr:to>
      <xdr:col>8</xdr:col>
      <xdr:colOff>154609</xdr:colOff>
      <xdr:row>40</xdr:row>
      <xdr:rowOff>174045</xdr:rowOff>
    </xdr:to>
    <xdr:graphicFrame macro="">
      <xdr:nvGraphicFramePr>
        <xdr:cNvPr id="29" name="Chart 28">
          <a:extLst>
            <a:ext uri="{FF2B5EF4-FFF2-40B4-BE49-F238E27FC236}">
              <a16:creationId xmlns:a16="http://schemas.microsoft.com/office/drawing/2014/main" id="{FC78032D-0845-4870-BFAA-5914D2A022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606396</xdr:colOff>
      <xdr:row>19</xdr:row>
      <xdr:rowOff>77304</xdr:rowOff>
    </xdr:from>
    <xdr:to>
      <xdr:col>16</xdr:col>
      <xdr:colOff>342346</xdr:colOff>
      <xdr:row>42</xdr:row>
      <xdr:rowOff>0</xdr:rowOff>
    </xdr:to>
    <mc:AlternateContent xmlns:mc="http://schemas.openxmlformats.org/markup-compatibility/2006">
      <mc:Choice xmlns:cx4="http://schemas.microsoft.com/office/drawing/2016/5/10/chartex" Requires="cx4">
        <xdr:graphicFrame macro="">
          <xdr:nvGraphicFramePr>
            <xdr:cNvPr id="30" name="Chart 29">
              <a:extLst>
                <a:ext uri="{FF2B5EF4-FFF2-40B4-BE49-F238E27FC236}">
                  <a16:creationId xmlns:a16="http://schemas.microsoft.com/office/drawing/2014/main" id="{9B9DF33B-8ACD-41CD-BF58-3CBF717CF9C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6473796" y="3552024"/>
              <a:ext cx="3393550" cy="412893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312090</xdr:colOff>
      <xdr:row>24</xdr:row>
      <xdr:rowOff>128766</xdr:rowOff>
    </xdr:from>
    <xdr:to>
      <xdr:col>15</xdr:col>
      <xdr:colOff>541131</xdr:colOff>
      <xdr:row>32</xdr:row>
      <xdr:rowOff>55217</xdr:rowOff>
    </xdr:to>
    <mc:AlternateContent xmlns:mc="http://schemas.openxmlformats.org/markup-compatibility/2006">
      <mc:Choice xmlns:cx4="http://schemas.microsoft.com/office/drawing/2016/5/10/chartex" Requires="cx4">
        <xdr:graphicFrame macro="">
          <xdr:nvGraphicFramePr>
            <xdr:cNvPr id="31" name="Chart 30">
              <a:extLst>
                <a:ext uri="{FF2B5EF4-FFF2-40B4-BE49-F238E27FC236}">
                  <a16:creationId xmlns:a16="http://schemas.microsoft.com/office/drawing/2014/main" id="{2889132C-C595-4183-B47B-4A0C7E01880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8617890" y="4517886"/>
              <a:ext cx="838641" cy="138949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323793</xdr:colOff>
      <xdr:row>19</xdr:row>
      <xdr:rowOff>0</xdr:rowOff>
    </xdr:from>
    <xdr:to>
      <xdr:col>25</xdr:col>
      <xdr:colOff>190499</xdr:colOff>
      <xdr:row>31</xdr:row>
      <xdr:rowOff>174568</xdr:rowOff>
    </xdr:to>
    <xdr:graphicFrame macro="">
      <xdr:nvGraphicFramePr>
        <xdr:cNvPr id="33" name="Chart 32">
          <a:extLst>
            <a:ext uri="{FF2B5EF4-FFF2-40B4-BE49-F238E27FC236}">
              <a16:creationId xmlns:a16="http://schemas.microsoft.com/office/drawing/2014/main" id="{549A0334-DD45-494F-866F-96E07C5863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17</xdr:col>
      <xdr:colOff>333277</xdr:colOff>
      <xdr:row>32</xdr:row>
      <xdr:rowOff>79130</xdr:rowOff>
    </xdr:from>
    <xdr:to>
      <xdr:col>22</xdr:col>
      <xdr:colOff>557894</xdr:colOff>
      <xdr:row>41</xdr:row>
      <xdr:rowOff>165253</xdr:rowOff>
    </xdr:to>
    <xdr:graphicFrame macro="">
      <xdr:nvGraphicFramePr>
        <xdr:cNvPr id="35" name="Chart 34">
          <a:extLst>
            <a:ext uri="{FF2B5EF4-FFF2-40B4-BE49-F238E27FC236}">
              <a16:creationId xmlns:a16="http://schemas.microsoft.com/office/drawing/2014/main" id="{0B466664-5822-4062-B7FE-B7F18AF7EA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110656</xdr:colOff>
      <xdr:row>20</xdr:row>
      <xdr:rowOff>77305</xdr:rowOff>
    </xdr:from>
    <xdr:to>
      <xdr:col>2</xdr:col>
      <xdr:colOff>55218</xdr:colOff>
      <xdr:row>30</xdr:row>
      <xdr:rowOff>88348</xdr:rowOff>
    </xdr:to>
    <mc:AlternateContent xmlns:mc="http://schemas.openxmlformats.org/markup-compatibility/2006" xmlns:a14="http://schemas.microsoft.com/office/drawing/2010/main">
      <mc:Choice Requires="a14">
        <xdr:graphicFrame macro="">
          <xdr:nvGraphicFramePr>
            <xdr:cNvPr id="38" name="Order Mode">
              <a:extLst>
                <a:ext uri="{FF2B5EF4-FFF2-40B4-BE49-F238E27FC236}">
                  <a16:creationId xmlns:a16="http://schemas.microsoft.com/office/drawing/2014/main" id="{93E928B4-8546-4F1F-BE62-4C7E7C5379C0}"/>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110656" y="3820463"/>
              <a:ext cx="1695825" cy="18826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121479</xdr:colOff>
      <xdr:row>31</xdr:row>
      <xdr:rowOff>15241</xdr:rowOff>
    </xdr:from>
    <xdr:to>
      <xdr:col>2</xdr:col>
      <xdr:colOff>55218</xdr:colOff>
      <xdr:row>42</xdr:row>
      <xdr:rowOff>55219</xdr:rowOff>
    </xdr:to>
    <mc:AlternateContent xmlns:mc="http://schemas.openxmlformats.org/markup-compatibility/2006" xmlns:a14="http://schemas.microsoft.com/office/drawing/2010/main">
      <mc:Choice Requires="a14">
        <xdr:graphicFrame macro="">
          <xdr:nvGraphicFramePr>
            <xdr:cNvPr id="39" name="Gender Value">
              <a:extLst>
                <a:ext uri="{FF2B5EF4-FFF2-40B4-BE49-F238E27FC236}">
                  <a16:creationId xmlns:a16="http://schemas.microsoft.com/office/drawing/2014/main" id="{0A90EC08-2246-4653-94EB-32CB39EA9EF1}"/>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mlns="">
        <xdr:sp macro="" textlink="">
          <xdr:nvSpPr>
            <xdr:cNvPr id="0" name=""/>
            <xdr:cNvSpPr>
              <a:spLocks noTextEdit="1"/>
            </xdr:cNvSpPr>
          </xdr:nvSpPr>
          <xdr:spPr>
            <a:xfrm>
              <a:off x="121479" y="5817136"/>
              <a:ext cx="1685002" cy="20987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574262</xdr:colOff>
      <xdr:row>2</xdr:row>
      <xdr:rowOff>47596</xdr:rowOff>
    </xdr:from>
    <xdr:to>
      <xdr:col>16</xdr:col>
      <xdr:colOff>99392</xdr:colOff>
      <xdr:row>4</xdr:row>
      <xdr:rowOff>66260</xdr:rowOff>
    </xdr:to>
    <xdr:sp macro="" textlink="">
      <xdr:nvSpPr>
        <xdr:cNvPr id="42" name="TextBox 41">
          <a:extLst>
            <a:ext uri="{FF2B5EF4-FFF2-40B4-BE49-F238E27FC236}">
              <a16:creationId xmlns:a16="http://schemas.microsoft.com/office/drawing/2014/main" id="{B05A2244-456B-384F-A9E5-01AF75B1BEDD}"/>
            </a:ext>
          </a:extLst>
        </xdr:cNvPr>
        <xdr:cNvSpPr txBox="1"/>
      </xdr:nvSpPr>
      <xdr:spPr>
        <a:xfrm>
          <a:off x="7045740" y="423074"/>
          <a:ext cx="2562087" cy="3941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t>         </a:t>
          </a:r>
          <a:r>
            <a:rPr lang="en-IN" sz="1400">
              <a:solidFill>
                <a:schemeClr val="accent2"/>
              </a:solidFill>
            </a:rPr>
            <a:t>How they used</a:t>
          </a:r>
          <a:r>
            <a:rPr lang="en-IN" sz="1400" baseline="0">
              <a:solidFill>
                <a:schemeClr val="accent2"/>
              </a:solidFill>
            </a:rPr>
            <a:t> to buy</a:t>
          </a:r>
          <a:endParaRPr lang="en-IN" sz="1400">
            <a:solidFill>
              <a:schemeClr val="accent2"/>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7620</xdr:colOff>
      <xdr:row>1</xdr:row>
      <xdr:rowOff>0</xdr:rowOff>
    </xdr:from>
    <xdr:to>
      <xdr:col>4</xdr:col>
      <xdr:colOff>331750</xdr:colOff>
      <xdr:row>3</xdr:row>
      <xdr:rowOff>76322</xdr:rowOff>
    </xdr:to>
    <xdr:pic>
      <xdr:nvPicPr>
        <xdr:cNvPr id="2" name="Picture 1">
          <a:extLst>
            <a:ext uri="{FF2B5EF4-FFF2-40B4-BE49-F238E27FC236}">
              <a16:creationId xmlns:a16="http://schemas.microsoft.com/office/drawing/2014/main" id="{113BF637-9F8C-404F-8B9A-8AB22E64E9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845820" y="182880"/>
          <a:ext cx="1543330" cy="442082"/>
        </a:xfrm>
        <a:prstGeom prst="rect">
          <a:avLst/>
        </a:prstGeom>
      </xdr:spPr>
    </xdr:pic>
    <xdr:clientData/>
  </xdr:twoCellAnchor>
  <xdr:twoCellAnchor editAs="oneCell">
    <xdr:from>
      <xdr:col>1</xdr:col>
      <xdr:colOff>0</xdr:colOff>
      <xdr:row>27</xdr:row>
      <xdr:rowOff>0</xdr:rowOff>
    </xdr:from>
    <xdr:to>
      <xdr:col>3</xdr:col>
      <xdr:colOff>304800</xdr:colOff>
      <xdr:row>29</xdr:row>
      <xdr:rowOff>67829</xdr:rowOff>
    </xdr:to>
    <xdr:pic>
      <xdr:nvPicPr>
        <xdr:cNvPr id="3" name="Picture 2">
          <a:hlinkClick xmlns:r="http://schemas.openxmlformats.org/officeDocument/2006/relationships" r:id="rId2"/>
          <a:extLst>
            <a:ext uri="{FF2B5EF4-FFF2-40B4-BE49-F238E27FC236}">
              <a16:creationId xmlns:a16="http://schemas.microsoft.com/office/drawing/2014/main" id="{602BB025-83F9-4955-BC88-7D277D7994E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28600" y="4937760"/>
          <a:ext cx="1524000" cy="433589"/>
        </a:xfrm>
        <a:prstGeom prst="rect">
          <a:avLst/>
        </a:prstGeom>
      </xdr:spPr>
    </xdr:pic>
    <xdr:clientData/>
  </xdr:twoCellAnchor>
  <xdr:twoCellAnchor editAs="oneCell">
    <xdr:from>
      <xdr:col>7</xdr:col>
      <xdr:colOff>1</xdr:colOff>
      <xdr:row>7</xdr:row>
      <xdr:rowOff>1</xdr:rowOff>
    </xdr:from>
    <xdr:to>
      <xdr:col>8</xdr:col>
      <xdr:colOff>1</xdr:colOff>
      <xdr:row>21</xdr:row>
      <xdr:rowOff>1</xdr:rowOff>
    </xdr:to>
    <xdr:pic>
      <xdr:nvPicPr>
        <xdr:cNvPr id="5" name="Picture 4">
          <a:hlinkClick xmlns:r="http://schemas.openxmlformats.org/officeDocument/2006/relationships" r:id="rId4"/>
          <a:extLst>
            <a:ext uri="{FF2B5EF4-FFF2-40B4-BE49-F238E27FC236}">
              <a16:creationId xmlns:a16="http://schemas.microsoft.com/office/drawing/2014/main" id="{87527581-9CC7-32E2-D643-E625DB568FAF}"/>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86201" y="1280161"/>
          <a:ext cx="2560320" cy="256032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itya Boruah" refreshedDate="46059.717287384257" createdVersion="8" refreshedVersion="8" minRefreshableVersion="3" recordCount="2400" xr:uid="{0AD6501E-A22D-477A-831F-2D73676E8D53}">
  <cacheSource type="worksheet">
    <worksheetSource name="orders"/>
  </cacheSource>
  <cacheFields count="18">
    <cacheField name="TX ID" numFmtId="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cacheField>
    <cacheField name="Ship Date" numFmtId="15">
      <sharedItems containsSemiMixedTypes="0" containsNonDate="0" containsDate="1" containsString="0" minDate="2025-01-02T00:00:00" maxDate="2025-04-11T00:00:00"/>
    </cacheField>
    <cacheField name="Customer Gender" numFmtId="0">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Days (Order Date)" numFmtId="0" databaseField="0">
      <fieldGroup base="5">
        <rangePr groupBy="days" startDate="2025-01-01T00:00:00" endDate="2025-03-30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30/2025"/>
        </groupItems>
      </fieldGroup>
    </cacheField>
    <cacheField name="Months (Order Date)" numFmtId="0" databaseField="0">
      <fieldGroup base="5">
        <rangePr groupBy="months" startDate="2025-01-01T00:00:00" endDate="2025-03-30T00:00:00"/>
        <groupItems count="14">
          <s v="&lt;1/1/2025"/>
          <s v="Jan"/>
          <s v="Feb"/>
          <s v="Mar"/>
          <s v="Apr"/>
          <s v="May"/>
          <s v="Jun"/>
          <s v="Jul"/>
          <s v="Aug"/>
          <s v="Sep"/>
          <s v="Oct"/>
          <s v="Nov"/>
          <s v="Dec"/>
          <s v="&gt;3/30/2025"/>
        </groupItems>
      </fieldGroup>
    </cacheField>
  </cacheFields>
  <extLst>
    <ext xmlns:x14="http://schemas.microsoft.com/office/spreadsheetml/2009/9/main" uri="{725AE2AE-9491-48be-B2B4-4EB974FC3084}">
      <x14:pivotCacheDefinition pivotCacheId="4510714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s v="TX500001"/>
    <x v="0"/>
    <x v="0"/>
    <n v="10.9"/>
    <n v="10.9"/>
    <x v="0"/>
    <d v="2025-01-06T00:00:00"/>
    <s v=""/>
    <x v="0"/>
    <x v="0"/>
    <x v="0"/>
    <x v="0"/>
    <x v="0"/>
    <x v="0"/>
    <x v="0"/>
  </r>
  <r>
    <s v="TX500002"/>
    <x v="1"/>
    <x v="1"/>
    <n v="30.6"/>
    <n v="61.2"/>
    <x v="0"/>
    <d v="2025-01-03T00:00:00"/>
    <s v="M"/>
    <x v="0"/>
    <x v="0"/>
    <x v="0"/>
    <x v="1"/>
    <x v="1"/>
    <x v="0"/>
    <x v="1"/>
  </r>
  <r>
    <s v="TX500003"/>
    <x v="2"/>
    <x v="2"/>
    <n v="109.4"/>
    <n v="328.20000000000005"/>
    <x v="0"/>
    <d v="2025-01-04T00:00:00"/>
    <s v="F"/>
    <x v="0"/>
    <x v="1"/>
    <x v="0"/>
    <x v="2"/>
    <x v="2"/>
    <x v="0"/>
    <x v="2"/>
  </r>
  <r>
    <s v="TX500004"/>
    <x v="3"/>
    <x v="3"/>
    <n v="37.700000000000003"/>
    <n v="263.90000000000003"/>
    <x v="0"/>
    <d v="2025-01-02T00:00:00"/>
    <s v="F"/>
    <x v="0"/>
    <x v="0"/>
    <x v="0"/>
    <x v="2"/>
    <x v="3"/>
    <x v="0"/>
    <x v="2"/>
  </r>
  <r>
    <s v="TX500005"/>
    <x v="4"/>
    <x v="2"/>
    <n v="56.7"/>
    <n v="170.10000000000002"/>
    <x v="0"/>
    <d v="2025-01-04T00:00:00"/>
    <s v="F"/>
    <x v="0"/>
    <x v="2"/>
    <x v="0"/>
    <x v="3"/>
    <x v="2"/>
    <x v="0"/>
    <x v="2"/>
  </r>
  <r>
    <s v="TX500006"/>
    <x v="1"/>
    <x v="4"/>
    <n v="83.5"/>
    <n v="1002"/>
    <x v="0"/>
    <d v="2025-01-04T00:00:00"/>
    <s v="M"/>
    <x v="1"/>
    <x v="0"/>
    <x v="0"/>
    <x v="3"/>
    <x v="2"/>
    <x v="0"/>
    <x v="1"/>
  </r>
  <r>
    <s v="TX500007"/>
    <x v="5"/>
    <x v="0"/>
    <n v="55.3"/>
    <n v="55.3"/>
    <x v="0"/>
    <d v="2025-01-02T00:00:00"/>
    <s v="F"/>
    <x v="0"/>
    <x v="0"/>
    <x v="0"/>
    <x v="3"/>
    <x v="3"/>
    <x v="0"/>
    <x v="2"/>
  </r>
  <r>
    <s v="TX500008"/>
    <x v="6"/>
    <x v="1"/>
    <n v="40.299999999999997"/>
    <n v="80.599999999999994"/>
    <x v="0"/>
    <d v="2025-01-02T00:00:00"/>
    <s v="M"/>
    <x v="2"/>
    <x v="2"/>
    <x v="0"/>
    <x v="3"/>
    <x v="3"/>
    <x v="0"/>
    <x v="1"/>
  </r>
  <r>
    <s v="TX500009"/>
    <x v="7"/>
    <x v="5"/>
    <n v="35.700000000000003"/>
    <n v="392.70000000000005"/>
    <x v="0"/>
    <d v="2025-01-02T00:00:00"/>
    <s v="F"/>
    <x v="0"/>
    <x v="0"/>
    <x v="0"/>
    <x v="3"/>
    <x v="3"/>
    <x v="0"/>
    <x v="2"/>
  </r>
  <r>
    <s v="TX500010"/>
    <x v="8"/>
    <x v="3"/>
    <n v="22.4"/>
    <n v="156.79999999999998"/>
    <x v="0"/>
    <d v="2025-01-04T00:00:00"/>
    <s v="M"/>
    <x v="0"/>
    <x v="1"/>
    <x v="0"/>
    <x v="3"/>
    <x v="2"/>
    <x v="0"/>
    <x v="1"/>
  </r>
  <r>
    <s v="TX500011"/>
    <x v="9"/>
    <x v="1"/>
    <n v="54.4"/>
    <n v="108.8"/>
    <x v="0"/>
    <d v="2025-01-07T00:00:00"/>
    <s v="F"/>
    <x v="0"/>
    <x v="0"/>
    <x v="0"/>
    <x v="3"/>
    <x v="4"/>
    <x v="0"/>
    <x v="2"/>
  </r>
  <r>
    <s v="TX500012"/>
    <x v="9"/>
    <x v="1"/>
    <n v="49"/>
    <n v="98"/>
    <x v="0"/>
    <d v="2025-01-03T00:00:00"/>
    <s v="F"/>
    <x v="2"/>
    <x v="1"/>
    <x v="0"/>
    <x v="3"/>
    <x v="1"/>
    <x v="0"/>
    <x v="2"/>
  </r>
  <r>
    <s v="TX500013"/>
    <x v="5"/>
    <x v="3"/>
    <n v="118.6"/>
    <n v="830.19999999999993"/>
    <x v="0"/>
    <d v="2025-01-05T00:00:00"/>
    <s v="F"/>
    <x v="1"/>
    <x v="0"/>
    <x v="0"/>
    <x v="4"/>
    <x v="5"/>
    <x v="0"/>
    <x v="2"/>
  </r>
  <r>
    <s v="TX500014"/>
    <x v="6"/>
    <x v="6"/>
    <n v="88.4"/>
    <n v="2386.8000000000002"/>
    <x v="0"/>
    <d v="2025-01-08T00:00:00"/>
    <s v="M"/>
    <x v="3"/>
    <x v="0"/>
    <x v="0"/>
    <x v="5"/>
    <x v="6"/>
    <x v="0"/>
    <x v="1"/>
  </r>
  <r>
    <s v="TX500015"/>
    <x v="10"/>
    <x v="0"/>
    <n v="66.7"/>
    <n v="66.7"/>
    <x v="0"/>
    <d v="2025-01-04T00:00:00"/>
    <s v="M"/>
    <x v="0"/>
    <x v="0"/>
    <x v="0"/>
    <x v="6"/>
    <x v="2"/>
    <x v="0"/>
    <x v="1"/>
  </r>
  <r>
    <s v="TX500016"/>
    <x v="9"/>
    <x v="7"/>
    <n v="30.9"/>
    <n v="309"/>
    <x v="0"/>
    <d v="2025-01-02T00:00:00"/>
    <s v="M"/>
    <x v="1"/>
    <x v="2"/>
    <x v="0"/>
    <x v="6"/>
    <x v="3"/>
    <x v="0"/>
    <x v="1"/>
  </r>
  <r>
    <s v="TX500017"/>
    <x v="4"/>
    <x v="2"/>
    <n v="31.1"/>
    <n v="93.300000000000011"/>
    <x v="0"/>
    <d v="2025-01-02T00:00:00"/>
    <s v="F"/>
    <x v="0"/>
    <x v="1"/>
    <x v="0"/>
    <x v="6"/>
    <x v="3"/>
    <x v="0"/>
    <x v="2"/>
  </r>
  <r>
    <s v="TX500018"/>
    <x v="7"/>
    <x v="2"/>
    <n v="36.6"/>
    <n v="109.80000000000001"/>
    <x v="0"/>
    <d v="2025-01-04T00:00:00"/>
    <s v="F"/>
    <x v="0"/>
    <x v="0"/>
    <x v="0"/>
    <x v="7"/>
    <x v="2"/>
    <x v="0"/>
    <x v="2"/>
  </r>
  <r>
    <s v="TX500019"/>
    <x v="6"/>
    <x v="8"/>
    <n v="51.1"/>
    <n v="408.8"/>
    <x v="0"/>
    <d v="2025-01-04T00:00:00"/>
    <s v="F"/>
    <x v="2"/>
    <x v="3"/>
    <x v="0"/>
    <x v="7"/>
    <x v="2"/>
    <x v="0"/>
    <x v="2"/>
  </r>
  <r>
    <s v="TX500020"/>
    <x v="9"/>
    <x v="0"/>
    <n v="25.2"/>
    <n v="25.2"/>
    <x v="0"/>
    <d v="2025-01-02T00:00:00"/>
    <s v="F"/>
    <x v="1"/>
    <x v="2"/>
    <x v="0"/>
    <x v="8"/>
    <x v="3"/>
    <x v="0"/>
    <x v="2"/>
  </r>
  <r>
    <s v="TX500021"/>
    <x v="9"/>
    <x v="9"/>
    <n v="43.8"/>
    <n v="219"/>
    <x v="0"/>
    <d v="2025-01-04T00:00:00"/>
    <s v="F"/>
    <x v="2"/>
    <x v="0"/>
    <x v="0"/>
    <x v="8"/>
    <x v="2"/>
    <x v="0"/>
    <x v="2"/>
  </r>
  <r>
    <s v="TX500022"/>
    <x v="8"/>
    <x v="4"/>
    <n v="46.7"/>
    <n v="560.40000000000009"/>
    <x v="0"/>
    <d v="2025-01-02T00:00:00"/>
    <s v="F"/>
    <x v="1"/>
    <x v="1"/>
    <x v="0"/>
    <x v="8"/>
    <x v="3"/>
    <x v="0"/>
    <x v="2"/>
  </r>
  <r>
    <s v="TX500023"/>
    <x v="3"/>
    <x v="10"/>
    <n v="79.900000000000006"/>
    <n v="1518.1000000000001"/>
    <x v="0"/>
    <d v="2025-01-02T00:00:00"/>
    <s v="M"/>
    <x v="0"/>
    <x v="2"/>
    <x v="0"/>
    <x v="8"/>
    <x v="3"/>
    <x v="0"/>
    <x v="1"/>
  </r>
  <r>
    <s v="TX500024"/>
    <x v="11"/>
    <x v="8"/>
    <n v="26.4"/>
    <n v="211.2"/>
    <x v="0"/>
    <d v="2025-01-02T00:00:00"/>
    <s v="F"/>
    <x v="3"/>
    <x v="0"/>
    <x v="0"/>
    <x v="8"/>
    <x v="3"/>
    <x v="0"/>
    <x v="2"/>
  </r>
  <r>
    <s v="TX500025"/>
    <x v="12"/>
    <x v="8"/>
    <n v="88.8"/>
    <n v="710.4"/>
    <x v="0"/>
    <d v="2025-01-02T00:00:00"/>
    <s v="F"/>
    <x v="4"/>
    <x v="0"/>
    <x v="0"/>
    <x v="8"/>
    <x v="3"/>
    <x v="0"/>
    <x v="2"/>
  </r>
  <r>
    <s v="TX500026"/>
    <x v="0"/>
    <x v="7"/>
    <n v="17.5"/>
    <n v="175"/>
    <x v="0"/>
    <d v="2025-01-02T00:00:00"/>
    <s v="F"/>
    <x v="2"/>
    <x v="0"/>
    <x v="0"/>
    <x v="9"/>
    <x v="3"/>
    <x v="0"/>
    <x v="2"/>
  </r>
  <r>
    <s v="TX500027"/>
    <x v="1"/>
    <x v="11"/>
    <n v="38.700000000000003"/>
    <n v="348.3"/>
    <x v="0"/>
    <d v="2025-01-04T00:00:00"/>
    <s v="M"/>
    <x v="1"/>
    <x v="0"/>
    <x v="0"/>
    <x v="10"/>
    <x v="2"/>
    <x v="0"/>
    <x v="1"/>
  </r>
  <r>
    <s v="TX500028"/>
    <x v="13"/>
    <x v="12"/>
    <n v="57.2"/>
    <n v="228.8"/>
    <x v="0"/>
    <d v="2025-01-03T00:00:00"/>
    <s v=""/>
    <x v="1"/>
    <x v="2"/>
    <x v="0"/>
    <x v="11"/>
    <x v="1"/>
    <x v="0"/>
    <x v="0"/>
  </r>
  <r>
    <s v="TX500029"/>
    <x v="6"/>
    <x v="9"/>
    <n v="50.9"/>
    <n v="254.5"/>
    <x v="0"/>
    <d v="2025-01-07T00:00:00"/>
    <s v=""/>
    <x v="1"/>
    <x v="2"/>
    <x v="0"/>
    <x v="12"/>
    <x v="4"/>
    <x v="0"/>
    <x v="0"/>
  </r>
  <r>
    <s v="TX500030"/>
    <x v="14"/>
    <x v="3"/>
    <n v="41"/>
    <n v="287"/>
    <x v="0"/>
    <d v="2025-01-05T00:00:00"/>
    <s v="F"/>
    <x v="1"/>
    <x v="0"/>
    <x v="0"/>
    <x v="13"/>
    <x v="5"/>
    <x v="0"/>
    <x v="2"/>
  </r>
  <r>
    <s v="TX500031"/>
    <x v="8"/>
    <x v="3"/>
    <n v="19.100000000000001"/>
    <n v="133.70000000000002"/>
    <x v="0"/>
    <d v="2025-01-05T00:00:00"/>
    <s v="M"/>
    <x v="0"/>
    <x v="2"/>
    <x v="0"/>
    <x v="14"/>
    <x v="5"/>
    <x v="0"/>
    <x v="1"/>
  </r>
  <r>
    <s v="TX500032"/>
    <x v="2"/>
    <x v="9"/>
    <n v="166.1"/>
    <n v="830.5"/>
    <x v="0"/>
    <d v="2025-01-04T00:00:00"/>
    <s v="M"/>
    <x v="0"/>
    <x v="0"/>
    <x v="0"/>
    <x v="15"/>
    <x v="2"/>
    <x v="0"/>
    <x v="1"/>
  </r>
  <r>
    <s v="TX500033"/>
    <x v="4"/>
    <x v="2"/>
    <n v="29.9"/>
    <n v="89.699999999999989"/>
    <x v="0"/>
    <d v="2025-01-02T00:00:00"/>
    <s v="M"/>
    <x v="3"/>
    <x v="0"/>
    <x v="0"/>
    <x v="3"/>
    <x v="3"/>
    <x v="0"/>
    <x v="1"/>
  </r>
  <r>
    <s v="TX500034"/>
    <x v="10"/>
    <x v="13"/>
    <n v="21.7"/>
    <n v="130.19999999999999"/>
    <x v="0"/>
    <d v="2025-01-03T00:00:00"/>
    <s v="O"/>
    <x v="2"/>
    <x v="2"/>
    <x v="0"/>
    <x v="3"/>
    <x v="1"/>
    <x v="0"/>
    <x v="3"/>
  </r>
  <r>
    <s v="TX500035"/>
    <x v="11"/>
    <x v="1"/>
    <n v="32"/>
    <n v="64"/>
    <x v="0"/>
    <d v="2025-01-04T00:00:00"/>
    <s v="M"/>
    <x v="0"/>
    <x v="2"/>
    <x v="0"/>
    <x v="3"/>
    <x v="2"/>
    <x v="0"/>
    <x v="1"/>
  </r>
  <r>
    <s v="TX500036"/>
    <x v="8"/>
    <x v="1"/>
    <n v="15.8"/>
    <n v="31.6"/>
    <x v="0"/>
    <d v="2025-01-02T00:00:00"/>
    <s v="M"/>
    <x v="4"/>
    <x v="2"/>
    <x v="0"/>
    <x v="3"/>
    <x v="3"/>
    <x v="0"/>
    <x v="1"/>
  </r>
  <r>
    <s v="TX500037"/>
    <x v="2"/>
    <x v="14"/>
    <n v="203.1"/>
    <n v="3452.7"/>
    <x v="0"/>
    <d v="2025-01-05T00:00:00"/>
    <s v="M"/>
    <x v="3"/>
    <x v="1"/>
    <x v="0"/>
    <x v="3"/>
    <x v="5"/>
    <x v="0"/>
    <x v="1"/>
  </r>
  <r>
    <s v="TX500038"/>
    <x v="7"/>
    <x v="15"/>
    <n v="39"/>
    <n v="507"/>
    <x v="0"/>
    <d v="2025-01-07T00:00:00"/>
    <s v="M"/>
    <x v="0"/>
    <x v="2"/>
    <x v="0"/>
    <x v="3"/>
    <x v="4"/>
    <x v="0"/>
    <x v="1"/>
  </r>
  <r>
    <s v="TX500039"/>
    <x v="10"/>
    <x v="0"/>
    <n v="26.5"/>
    <n v="26.5"/>
    <x v="1"/>
    <d v="2025-01-03T00:00:00"/>
    <s v="M"/>
    <x v="2"/>
    <x v="0"/>
    <x v="0"/>
    <x v="3"/>
    <x v="3"/>
    <x v="0"/>
    <x v="1"/>
  </r>
  <r>
    <s v="TX500040"/>
    <x v="5"/>
    <x v="0"/>
    <n v="43.1"/>
    <n v="43.1"/>
    <x v="1"/>
    <d v="2025-01-03T00:00:00"/>
    <s v="F"/>
    <x v="2"/>
    <x v="1"/>
    <x v="0"/>
    <x v="3"/>
    <x v="3"/>
    <x v="0"/>
    <x v="2"/>
  </r>
  <r>
    <s v="TX500041"/>
    <x v="1"/>
    <x v="2"/>
    <n v="139"/>
    <n v="417"/>
    <x v="1"/>
    <d v="2025-01-03T00:00:00"/>
    <s v="F"/>
    <x v="4"/>
    <x v="2"/>
    <x v="0"/>
    <x v="3"/>
    <x v="3"/>
    <x v="0"/>
    <x v="2"/>
  </r>
  <r>
    <s v="TX500042"/>
    <x v="12"/>
    <x v="0"/>
    <n v="80.7"/>
    <n v="80.7"/>
    <x v="1"/>
    <d v="2025-01-03T00:00:00"/>
    <s v="M"/>
    <x v="0"/>
    <x v="2"/>
    <x v="0"/>
    <x v="16"/>
    <x v="3"/>
    <x v="0"/>
    <x v="1"/>
  </r>
  <r>
    <s v="TX500043"/>
    <x v="4"/>
    <x v="1"/>
    <n v="54.5"/>
    <n v="109"/>
    <x v="1"/>
    <d v="2025-01-04T00:00:00"/>
    <s v="M"/>
    <x v="1"/>
    <x v="1"/>
    <x v="0"/>
    <x v="6"/>
    <x v="1"/>
    <x v="0"/>
    <x v="1"/>
  </r>
  <r>
    <s v="TX500044"/>
    <x v="6"/>
    <x v="2"/>
    <n v="68.599999999999994"/>
    <n v="205.79999999999998"/>
    <x v="1"/>
    <d v="2025-01-02T00:00:00"/>
    <s v="F"/>
    <x v="0"/>
    <x v="1"/>
    <x v="0"/>
    <x v="8"/>
    <x v="7"/>
    <x v="0"/>
    <x v="2"/>
  </r>
  <r>
    <s v="TX500045"/>
    <x v="2"/>
    <x v="12"/>
    <n v="135.9"/>
    <n v="543.6"/>
    <x v="1"/>
    <d v="2025-01-03T00:00:00"/>
    <s v="F"/>
    <x v="2"/>
    <x v="2"/>
    <x v="0"/>
    <x v="8"/>
    <x v="3"/>
    <x v="0"/>
    <x v="2"/>
  </r>
  <r>
    <s v="TX500046"/>
    <x v="2"/>
    <x v="12"/>
    <n v="70.900000000000006"/>
    <n v="283.60000000000002"/>
    <x v="1"/>
    <d v="2025-01-03T00:00:00"/>
    <s v="F"/>
    <x v="0"/>
    <x v="0"/>
    <x v="0"/>
    <x v="17"/>
    <x v="3"/>
    <x v="0"/>
    <x v="2"/>
  </r>
  <r>
    <s v="TX500047"/>
    <x v="1"/>
    <x v="9"/>
    <n v="63.7"/>
    <n v="318.5"/>
    <x v="1"/>
    <d v="2025-01-03T00:00:00"/>
    <s v="M"/>
    <x v="1"/>
    <x v="1"/>
    <x v="0"/>
    <x v="9"/>
    <x v="3"/>
    <x v="0"/>
    <x v="1"/>
  </r>
  <r>
    <s v="TX500048"/>
    <x v="13"/>
    <x v="0"/>
    <n v="29.7"/>
    <n v="29.7"/>
    <x v="1"/>
    <d v="2025-01-04T00:00:00"/>
    <s v="F"/>
    <x v="1"/>
    <x v="0"/>
    <x v="0"/>
    <x v="11"/>
    <x v="1"/>
    <x v="0"/>
    <x v="2"/>
  </r>
  <r>
    <s v="TX500049"/>
    <x v="4"/>
    <x v="2"/>
    <n v="26.8"/>
    <n v="80.400000000000006"/>
    <x v="1"/>
    <d v="2025-01-11T00:00:00"/>
    <s v="F"/>
    <x v="1"/>
    <x v="2"/>
    <x v="0"/>
    <x v="11"/>
    <x v="8"/>
    <x v="0"/>
    <x v="2"/>
  </r>
  <r>
    <s v="TX500050"/>
    <x v="14"/>
    <x v="0"/>
    <n v="27"/>
    <n v="27"/>
    <x v="1"/>
    <d v="2025-01-04T00:00:00"/>
    <s v="F"/>
    <x v="0"/>
    <x v="0"/>
    <x v="0"/>
    <x v="18"/>
    <x v="1"/>
    <x v="0"/>
    <x v="2"/>
  </r>
  <r>
    <s v="TX500051"/>
    <x v="8"/>
    <x v="0"/>
    <n v="41.4"/>
    <n v="41.4"/>
    <x v="1"/>
    <d v="2025-01-03T00:00:00"/>
    <s v="M"/>
    <x v="1"/>
    <x v="2"/>
    <x v="0"/>
    <x v="19"/>
    <x v="3"/>
    <x v="0"/>
    <x v="1"/>
  </r>
  <r>
    <s v="TX500052"/>
    <x v="8"/>
    <x v="1"/>
    <n v="24.3"/>
    <n v="48.6"/>
    <x v="1"/>
    <d v="2025-01-05T00:00:00"/>
    <s v="F"/>
    <x v="1"/>
    <x v="0"/>
    <x v="0"/>
    <x v="19"/>
    <x v="2"/>
    <x v="0"/>
    <x v="2"/>
  </r>
  <r>
    <s v="TX500053"/>
    <x v="8"/>
    <x v="2"/>
    <n v="41.7"/>
    <n v="125.10000000000001"/>
    <x v="1"/>
    <d v="2025-01-04T00:00:00"/>
    <s v="M"/>
    <x v="0"/>
    <x v="2"/>
    <x v="0"/>
    <x v="20"/>
    <x v="1"/>
    <x v="0"/>
    <x v="1"/>
  </r>
  <r>
    <s v="TX500054"/>
    <x v="0"/>
    <x v="1"/>
    <n v="18"/>
    <n v="36"/>
    <x v="1"/>
    <d v="2025-01-03T00:00:00"/>
    <s v="F"/>
    <x v="0"/>
    <x v="2"/>
    <x v="0"/>
    <x v="21"/>
    <x v="3"/>
    <x v="0"/>
    <x v="2"/>
  </r>
  <r>
    <s v="TX500055"/>
    <x v="7"/>
    <x v="2"/>
    <n v="91.3"/>
    <n v="273.89999999999998"/>
    <x v="1"/>
    <d v="2025-01-05T00:00:00"/>
    <s v="M"/>
    <x v="2"/>
    <x v="2"/>
    <x v="0"/>
    <x v="3"/>
    <x v="2"/>
    <x v="0"/>
    <x v="1"/>
  </r>
  <r>
    <s v="TX500056"/>
    <x v="8"/>
    <x v="8"/>
    <n v="19.3"/>
    <n v="154.4"/>
    <x v="1"/>
    <d v="2025-01-03T00:00:00"/>
    <s v="M"/>
    <x v="0"/>
    <x v="0"/>
    <x v="0"/>
    <x v="3"/>
    <x v="3"/>
    <x v="0"/>
    <x v="1"/>
  </r>
  <r>
    <s v="TX500057"/>
    <x v="12"/>
    <x v="15"/>
    <n v="63.2"/>
    <n v="821.6"/>
    <x v="1"/>
    <d v="2025-01-03T00:00:00"/>
    <s v="F"/>
    <x v="0"/>
    <x v="0"/>
    <x v="0"/>
    <x v="3"/>
    <x v="3"/>
    <x v="0"/>
    <x v="2"/>
  </r>
  <r>
    <s v="TX500058"/>
    <x v="10"/>
    <x v="11"/>
    <n v="33.299999999999997"/>
    <n v="299.7"/>
    <x v="2"/>
    <d v="2025-01-11T00:00:00"/>
    <s v="F"/>
    <x v="0"/>
    <x v="2"/>
    <x v="0"/>
    <x v="3"/>
    <x v="9"/>
    <x v="0"/>
    <x v="2"/>
  </r>
  <r>
    <s v="TX500059"/>
    <x v="7"/>
    <x v="1"/>
    <n v="64.2"/>
    <n v="128.4"/>
    <x v="2"/>
    <d v="2025-01-04T00:00:00"/>
    <s v="M"/>
    <x v="0"/>
    <x v="2"/>
    <x v="0"/>
    <x v="3"/>
    <x v="3"/>
    <x v="0"/>
    <x v="1"/>
  </r>
  <r>
    <s v="TX500060"/>
    <x v="9"/>
    <x v="2"/>
    <n v="23.1"/>
    <n v="69.300000000000011"/>
    <x v="2"/>
    <d v="2025-01-06T00:00:00"/>
    <s v="F"/>
    <x v="1"/>
    <x v="2"/>
    <x v="0"/>
    <x v="3"/>
    <x v="2"/>
    <x v="0"/>
    <x v="2"/>
  </r>
  <r>
    <s v="TX500061"/>
    <x v="15"/>
    <x v="1"/>
    <n v="71.099999999999994"/>
    <n v="142.19999999999999"/>
    <x v="2"/>
    <d v="2025-01-05T00:00:00"/>
    <s v="F"/>
    <x v="3"/>
    <x v="1"/>
    <x v="0"/>
    <x v="3"/>
    <x v="1"/>
    <x v="0"/>
    <x v="2"/>
  </r>
  <r>
    <s v="TX500062"/>
    <x v="0"/>
    <x v="1"/>
    <n v="11.5"/>
    <n v="23"/>
    <x v="2"/>
    <d v="2025-01-04T00:00:00"/>
    <s v="F"/>
    <x v="0"/>
    <x v="0"/>
    <x v="0"/>
    <x v="3"/>
    <x v="3"/>
    <x v="0"/>
    <x v="2"/>
  </r>
  <r>
    <s v="TX500063"/>
    <x v="15"/>
    <x v="10"/>
    <n v="69.2"/>
    <n v="1314.8"/>
    <x v="2"/>
    <d v="2025-01-08T00:00:00"/>
    <s v="F"/>
    <x v="0"/>
    <x v="0"/>
    <x v="0"/>
    <x v="3"/>
    <x v="0"/>
    <x v="0"/>
    <x v="2"/>
  </r>
  <r>
    <s v="TX500064"/>
    <x v="0"/>
    <x v="0"/>
    <n v="26.8"/>
    <n v="26.8"/>
    <x v="2"/>
    <d v="2025-01-04T00:00:00"/>
    <s v="M"/>
    <x v="2"/>
    <x v="4"/>
    <x v="0"/>
    <x v="3"/>
    <x v="3"/>
    <x v="0"/>
    <x v="1"/>
  </r>
  <r>
    <s v="TX500065"/>
    <x v="16"/>
    <x v="2"/>
    <n v="31.2"/>
    <n v="93.6"/>
    <x v="2"/>
    <d v="2025-01-06T00:00:00"/>
    <s v="F"/>
    <x v="0"/>
    <x v="0"/>
    <x v="0"/>
    <x v="3"/>
    <x v="2"/>
    <x v="0"/>
    <x v="2"/>
  </r>
  <r>
    <s v="TX500066"/>
    <x v="12"/>
    <x v="1"/>
    <n v="113.2"/>
    <n v="226.4"/>
    <x v="2"/>
    <d v="2025-01-04T00:00:00"/>
    <s v="F"/>
    <x v="4"/>
    <x v="0"/>
    <x v="0"/>
    <x v="3"/>
    <x v="3"/>
    <x v="0"/>
    <x v="2"/>
  </r>
  <r>
    <s v="TX500067"/>
    <x v="10"/>
    <x v="8"/>
    <n v="21"/>
    <n v="168"/>
    <x v="2"/>
    <d v="2025-01-04T00:00:00"/>
    <s v="M"/>
    <x v="0"/>
    <x v="0"/>
    <x v="0"/>
    <x v="6"/>
    <x v="3"/>
    <x v="0"/>
    <x v="1"/>
  </r>
  <r>
    <s v="TX500068"/>
    <x v="1"/>
    <x v="1"/>
    <n v="89.1"/>
    <n v="178.2"/>
    <x v="2"/>
    <d v="2025-01-04T00:00:00"/>
    <s v="F"/>
    <x v="2"/>
    <x v="2"/>
    <x v="0"/>
    <x v="6"/>
    <x v="3"/>
    <x v="0"/>
    <x v="2"/>
  </r>
  <r>
    <s v="TX500069"/>
    <x v="1"/>
    <x v="0"/>
    <n v="97.7"/>
    <n v="97.7"/>
    <x v="2"/>
    <d v="2025-01-05T00:00:00"/>
    <s v="F"/>
    <x v="0"/>
    <x v="1"/>
    <x v="0"/>
    <x v="6"/>
    <x v="1"/>
    <x v="0"/>
    <x v="2"/>
  </r>
  <r>
    <s v="TX500070"/>
    <x v="15"/>
    <x v="12"/>
    <n v="97.7"/>
    <n v="390.8"/>
    <x v="2"/>
    <d v="2025-01-05T00:00:00"/>
    <s v="M"/>
    <x v="3"/>
    <x v="0"/>
    <x v="0"/>
    <x v="6"/>
    <x v="1"/>
    <x v="0"/>
    <x v="1"/>
  </r>
  <r>
    <s v="TX500071"/>
    <x v="17"/>
    <x v="2"/>
    <n v="47.4"/>
    <n v="142.19999999999999"/>
    <x v="2"/>
    <d v="2025-01-06T00:00:00"/>
    <s v="M"/>
    <x v="3"/>
    <x v="2"/>
    <x v="0"/>
    <x v="8"/>
    <x v="2"/>
    <x v="0"/>
    <x v="1"/>
  </r>
  <r>
    <s v="TX500072"/>
    <x v="7"/>
    <x v="0"/>
    <n v="89.6"/>
    <n v="89.6"/>
    <x v="2"/>
    <d v="2025-01-06T00:00:00"/>
    <s v="F"/>
    <x v="0"/>
    <x v="2"/>
    <x v="0"/>
    <x v="8"/>
    <x v="2"/>
    <x v="0"/>
    <x v="2"/>
  </r>
  <r>
    <s v="TX500073"/>
    <x v="10"/>
    <x v="16"/>
    <n v="28.4"/>
    <n v="511.2"/>
    <x v="2"/>
    <d v="2025-01-06T00:00:00"/>
    <s v="F"/>
    <x v="3"/>
    <x v="2"/>
    <x v="0"/>
    <x v="17"/>
    <x v="2"/>
    <x v="0"/>
    <x v="2"/>
  </r>
  <r>
    <s v="TX500074"/>
    <x v="0"/>
    <x v="1"/>
    <n v="17.899999999999999"/>
    <n v="35.799999999999997"/>
    <x v="2"/>
    <d v="2025-01-04T00:00:00"/>
    <s v="F"/>
    <x v="0"/>
    <x v="2"/>
    <x v="0"/>
    <x v="9"/>
    <x v="3"/>
    <x v="0"/>
    <x v="2"/>
  </r>
  <r>
    <s v="TX500075"/>
    <x v="9"/>
    <x v="1"/>
    <n v="48.4"/>
    <n v="96.8"/>
    <x v="2"/>
    <d v="2025-01-06T00:00:00"/>
    <s v="M"/>
    <x v="1"/>
    <x v="0"/>
    <x v="0"/>
    <x v="9"/>
    <x v="2"/>
    <x v="0"/>
    <x v="1"/>
  </r>
  <r>
    <s v="TX500076"/>
    <x v="12"/>
    <x v="12"/>
    <n v="44.4"/>
    <n v="177.6"/>
    <x v="2"/>
    <d v="2025-01-04T00:00:00"/>
    <s v="O"/>
    <x v="1"/>
    <x v="1"/>
    <x v="0"/>
    <x v="11"/>
    <x v="3"/>
    <x v="0"/>
    <x v="3"/>
  </r>
  <r>
    <s v="TX500077"/>
    <x v="2"/>
    <x v="8"/>
    <n v="103.7"/>
    <n v="829.6"/>
    <x v="2"/>
    <d v="2025-01-04T00:00:00"/>
    <s v="F"/>
    <x v="0"/>
    <x v="1"/>
    <x v="0"/>
    <x v="19"/>
    <x v="3"/>
    <x v="0"/>
    <x v="2"/>
  </r>
  <r>
    <s v="TX500078"/>
    <x v="5"/>
    <x v="12"/>
    <n v="58.6"/>
    <n v="234.4"/>
    <x v="2"/>
    <d v="2025-01-05T00:00:00"/>
    <s v="M"/>
    <x v="3"/>
    <x v="0"/>
    <x v="0"/>
    <x v="19"/>
    <x v="1"/>
    <x v="0"/>
    <x v="1"/>
  </r>
  <r>
    <s v="TX500079"/>
    <x v="9"/>
    <x v="12"/>
    <n v="54.8"/>
    <n v="219.2"/>
    <x v="2"/>
    <d v="2025-01-07T00:00:00"/>
    <s v="F"/>
    <x v="2"/>
    <x v="1"/>
    <x v="0"/>
    <x v="13"/>
    <x v="5"/>
    <x v="0"/>
    <x v="2"/>
  </r>
  <r>
    <s v="TX500080"/>
    <x v="12"/>
    <x v="2"/>
    <n v="78.8"/>
    <n v="236.39999999999998"/>
    <x v="2"/>
    <d v="2025-01-09T00:00:00"/>
    <s v="F"/>
    <x v="4"/>
    <x v="1"/>
    <x v="0"/>
    <x v="21"/>
    <x v="4"/>
    <x v="0"/>
    <x v="2"/>
  </r>
  <r>
    <s v="TX500081"/>
    <x v="18"/>
    <x v="9"/>
    <n v="36.799999999999997"/>
    <n v="184"/>
    <x v="2"/>
    <d v="2025-01-06T00:00:00"/>
    <s v="M"/>
    <x v="4"/>
    <x v="1"/>
    <x v="0"/>
    <x v="22"/>
    <x v="2"/>
    <x v="0"/>
    <x v="1"/>
  </r>
  <r>
    <s v="TX500082"/>
    <x v="6"/>
    <x v="13"/>
    <n v="50.6"/>
    <n v="303.60000000000002"/>
    <x v="2"/>
    <d v="2025-01-05T00:00:00"/>
    <s v="F"/>
    <x v="3"/>
    <x v="0"/>
    <x v="0"/>
    <x v="3"/>
    <x v="1"/>
    <x v="0"/>
    <x v="2"/>
  </r>
  <r>
    <s v="TX500083"/>
    <x v="15"/>
    <x v="2"/>
    <n v="36.799999999999997"/>
    <n v="110.39999999999999"/>
    <x v="2"/>
    <d v="2025-01-03T00:00:00"/>
    <s v="M"/>
    <x v="2"/>
    <x v="1"/>
    <x v="0"/>
    <x v="3"/>
    <x v="7"/>
    <x v="0"/>
    <x v="1"/>
  </r>
  <r>
    <s v="TX500084"/>
    <x v="8"/>
    <x v="11"/>
    <n v="41.8"/>
    <n v="376.2"/>
    <x v="3"/>
    <d v="2025-01-10T00:00:00"/>
    <s v="F"/>
    <x v="3"/>
    <x v="0"/>
    <x v="0"/>
    <x v="3"/>
    <x v="4"/>
    <x v="0"/>
    <x v="2"/>
  </r>
  <r>
    <s v="TX500085"/>
    <x v="18"/>
    <x v="0"/>
    <n v="77.3"/>
    <n v="77.3"/>
    <x v="3"/>
    <d v="2025-01-05T00:00:00"/>
    <s v="M"/>
    <x v="4"/>
    <x v="4"/>
    <x v="0"/>
    <x v="3"/>
    <x v="3"/>
    <x v="0"/>
    <x v="1"/>
  </r>
  <r>
    <s v="TX500086"/>
    <x v="8"/>
    <x v="12"/>
    <n v="19.8"/>
    <n v="79.2"/>
    <x v="3"/>
    <d v="2025-01-10T00:00:00"/>
    <s v="M"/>
    <x v="1"/>
    <x v="2"/>
    <x v="0"/>
    <x v="3"/>
    <x v="4"/>
    <x v="0"/>
    <x v="1"/>
  </r>
  <r>
    <s v="TX500087"/>
    <x v="13"/>
    <x v="12"/>
    <n v="15.5"/>
    <n v="62"/>
    <x v="3"/>
    <d v="2025-01-05T00:00:00"/>
    <s v="F"/>
    <x v="1"/>
    <x v="2"/>
    <x v="0"/>
    <x v="3"/>
    <x v="3"/>
    <x v="0"/>
    <x v="2"/>
  </r>
  <r>
    <s v="TX500088"/>
    <x v="12"/>
    <x v="0"/>
    <n v="46.8"/>
    <n v="46.8"/>
    <x v="3"/>
    <d v="2025-01-08T00:00:00"/>
    <s v="M"/>
    <x v="0"/>
    <x v="2"/>
    <x v="0"/>
    <x v="3"/>
    <x v="5"/>
    <x v="0"/>
    <x v="1"/>
  </r>
  <r>
    <s v="TX500089"/>
    <x v="9"/>
    <x v="11"/>
    <n v="28.6"/>
    <n v="257.40000000000003"/>
    <x v="3"/>
    <d v="2025-01-08T00:00:00"/>
    <s v="M"/>
    <x v="0"/>
    <x v="2"/>
    <x v="0"/>
    <x v="3"/>
    <x v="5"/>
    <x v="0"/>
    <x v="1"/>
  </r>
  <r>
    <s v="TX500090"/>
    <x v="2"/>
    <x v="0"/>
    <n v="97.7"/>
    <n v="97.7"/>
    <x v="3"/>
    <d v="2025-01-07T00:00:00"/>
    <s v="F"/>
    <x v="1"/>
    <x v="0"/>
    <x v="0"/>
    <x v="3"/>
    <x v="2"/>
    <x v="0"/>
    <x v="2"/>
  </r>
  <r>
    <s v="TX500091"/>
    <x v="9"/>
    <x v="9"/>
    <n v="54.7"/>
    <n v="273.5"/>
    <x v="3"/>
    <d v="2025-01-07T00:00:00"/>
    <s v=""/>
    <x v="0"/>
    <x v="2"/>
    <x v="0"/>
    <x v="23"/>
    <x v="2"/>
    <x v="0"/>
    <x v="0"/>
  </r>
  <r>
    <s v="TX500092"/>
    <x v="2"/>
    <x v="13"/>
    <n v="130.5"/>
    <n v="783"/>
    <x v="3"/>
    <d v="2025-01-06T00:00:00"/>
    <s v="F"/>
    <x v="0"/>
    <x v="1"/>
    <x v="0"/>
    <x v="23"/>
    <x v="1"/>
    <x v="0"/>
    <x v="2"/>
  </r>
  <r>
    <s v="TX500093"/>
    <x v="11"/>
    <x v="1"/>
    <n v="50.4"/>
    <n v="100.8"/>
    <x v="3"/>
    <d v="2025-01-06T00:00:00"/>
    <s v="M"/>
    <x v="2"/>
    <x v="2"/>
    <x v="0"/>
    <x v="6"/>
    <x v="1"/>
    <x v="0"/>
    <x v="1"/>
  </r>
  <r>
    <s v="TX500094"/>
    <x v="6"/>
    <x v="15"/>
    <n v="61.5"/>
    <n v="799.5"/>
    <x v="3"/>
    <d v="2025-01-05T00:00:00"/>
    <s v=""/>
    <x v="3"/>
    <x v="1"/>
    <x v="0"/>
    <x v="11"/>
    <x v="3"/>
    <x v="0"/>
    <x v="0"/>
  </r>
  <r>
    <s v="TX500095"/>
    <x v="9"/>
    <x v="12"/>
    <n v="30.1"/>
    <n v="120.4"/>
    <x v="3"/>
    <d v="2025-01-05T00:00:00"/>
    <s v="F"/>
    <x v="0"/>
    <x v="2"/>
    <x v="0"/>
    <x v="21"/>
    <x v="3"/>
    <x v="0"/>
    <x v="2"/>
  </r>
  <r>
    <s v="TX500096"/>
    <x v="2"/>
    <x v="9"/>
    <n v="74.8"/>
    <n v="374"/>
    <x v="3"/>
    <d v="2025-01-05T00:00:00"/>
    <s v="F"/>
    <x v="1"/>
    <x v="0"/>
    <x v="0"/>
    <x v="1"/>
    <x v="3"/>
    <x v="0"/>
    <x v="2"/>
  </r>
  <r>
    <s v="TX500097"/>
    <x v="16"/>
    <x v="2"/>
    <n v="64.900000000000006"/>
    <n v="194.70000000000002"/>
    <x v="3"/>
    <d v="2025-01-11T00:00:00"/>
    <s v="M"/>
    <x v="0"/>
    <x v="0"/>
    <x v="0"/>
    <x v="2"/>
    <x v="6"/>
    <x v="0"/>
    <x v="1"/>
  </r>
  <r>
    <s v="TX500098"/>
    <x v="9"/>
    <x v="1"/>
    <n v="50.5"/>
    <n v="101"/>
    <x v="3"/>
    <d v="2025-01-06T00:00:00"/>
    <s v="M"/>
    <x v="1"/>
    <x v="0"/>
    <x v="0"/>
    <x v="22"/>
    <x v="1"/>
    <x v="0"/>
    <x v="1"/>
  </r>
  <r>
    <s v="TX500099"/>
    <x v="11"/>
    <x v="3"/>
    <n v="63"/>
    <n v="441"/>
    <x v="3"/>
    <d v="2025-01-07T00:00:00"/>
    <s v="M"/>
    <x v="3"/>
    <x v="2"/>
    <x v="0"/>
    <x v="3"/>
    <x v="2"/>
    <x v="0"/>
    <x v="1"/>
  </r>
  <r>
    <s v="TX500100"/>
    <x v="2"/>
    <x v="2"/>
    <n v="93.6"/>
    <n v="280.79999999999995"/>
    <x v="3"/>
    <d v="2025-01-17T00:00:00"/>
    <s v="F"/>
    <x v="0"/>
    <x v="2"/>
    <x v="0"/>
    <x v="3"/>
    <x v="10"/>
    <x v="0"/>
    <x v="2"/>
  </r>
  <r>
    <s v="TX500101"/>
    <x v="5"/>
    <x v="17"/>
    <n v="41.4"/>
    <n v="1242"/>
    <x v="3"/>
    <d v="2025-01-08T00:00:00"/>
    <s v="M"/>
    <x v="2"/>
    <x v="2"/>
    <x v="0"/>
    <x v="3"/>
    <x v="5"/>
    <x v="0"/>
    <x v="1"/>
  </r>
  <r>
    <s v="TX500102"/>
    <x v="2"/>
    <x v="1"/>
    <n v="160"/>
    <n v="320"/>
    <x v="4"/>
    <d v="2025-01-06T00:00:00"/>
    <s v="M"/>
    <x v="2"/>
    <x v="2"/>
    <x v="0"/>
    <x v="5"/>
    <x v="3"/>
    <x v="1"/>
    <x v="1"/>
  </r>
  <r>
    <s v="TX500103"/>
    <x v="19"/>
    <x v="5"/>
    <n v="10.5"/>
    <n v="115.5"/>
    <x v="4"/>
    <d v="2025-01-08T00:00:00"/>
    <s v="F"/>
    <x v="4"/>
    <x v="0"/>
    <x v="0"/>
    <x v="8"/>
    <x v="2"/>
    <x v="1"/>
    <x v="2"/>
  </r>
  <r>
    <s v="TX500104"/>
    <x v="10"/>
    <x v="1"/>
    <n v="53"/>
    <n v="106"/>
    <x v="4"/>
    <d v="2025-01-05T00:00:00"/>
    <s v="M"/>
    <x v="2"/>
    <x v="4"/>
    <x v="0"/>
    <x v="17"/>
    <x v="7"/>
    <x v="1"/>
    <x v="1"/>
  </r>
  <r>
    <s v="TX500105"/>
    <x v="8"/>
    <x v="2"/>
    <n v="18.5"/>
    <n v="55.5"/>
    <x v="4"/>
    <d v="2025-01-10T00:00:00"/>
    <s v="F"/>
    <x v="1"/>
    <x v="2"/>
    <x v="0"/>
    <x v="11"/>
    <x v="0"/>
    <x v="1"/>
    <x v="2"/>
  </r>
  <r>
    <s v="TX500106"/>
    <x v="16"/>
    <x v="2"/>
    <n v="84.5"/>
    <n v="253.5"/>
    <x v="4"/>
    <d v="2025-01-07T00:00:00"/>
    <s v="F"/>
    <x v="4"/>
    <x v="1"/>
    <x v="0"/>
    <x v="13"/>
    <x v="1"/>
    <x v="1"/>
    <x v="2"/>
  </r>
  <r>
    <s v="TX500107"/>
    <x v="15"/>
    <x v="3"/>
    <n v="31.2"/>
    <n v="218.4"/>
    <x v="4"/>
    <d v="2025-01-05T00:00:00"/>
    <s v="F"/>
    <x v="2"/>
    <x v="2"/>
    <x v="0"/>
    <x v="3"/>
    <x v="7"/>
    <x v="1"/>
    <x v="2"/>
  </r>
  <r>
    <s v="TX500108"/>
    <x v="8"/>
    <x v="16"/>
    <n v="32.6"/>
    <n v="586.80000000000007"/>
    <x v="4"/>
    <d v="2025-01-06T00:00:00"/>
    <s v="M"/>
    <x v="1"/>
    <x v="1"/>
    <x v="0"/>
    <x v="3"/>
    <x v="3"/>
    <x v="1"/>
    <x v="1"/>
  </r>
  <r>
    <s v="TX500109"/>
    <x v="10"/>
    <x v="12"/>
    <n v="45.4"/>
    <n v="181.6"/>
    <x v="4"/>
    <d v="2025-01-07T00:00:00"/>
    <s v="M"/>
    <x v="1"/>
    <x v="0"/>
    <x v="0"/>
    <x v="3"/>
    <x v="1"/>
    <x v="1"/>
    <x v="1"/>
  </r>
  <r>
    <s v="TX500110"/>
    <x v="2"/>
    <x v="4"/>
    <n v="120"/>
    <n v="1440"/>
    <x v="4"/>
    <d v="2025-01-06T00:00:00"/>
    <s v="F"/>
    <x v="2"/>
    <x v="4"/>
    <x v="0"/>
    <x v="3"/>
    <x v="3"/>
    <x v="1"/>
    <x v="2"/>
  </r>
  <r>
    <s v="TX500111"/>
    <x v="0"/>
    <x v="12"/>
    <n v="18.899999999999999"/>
    <n v="75.599999999999994"/>
    <x v="4"/>
    <d v="2025-01-07T00:00:00"/>
    <s v="M"/>
    <x v="0"/>
    <x v="2"/>
    <x v="0"/>
    <x v="3"/>
    <x v="1"/>
    <x v="1"/>
    <x v="1"/>
  </r>
  <r>
    <s v="TX500112"/>
    <x v="4"/>
    <x v="0"/>
    <n v="32"/>
    <n v="32"/>
    <x v="4"/>
    <d v="2025-01-07T00:00:00"/>
    <s v="F"/>
    <x v="4"/>
    <x v="0"/>
    <x v="0"/>
    <x v="3"/>
    <x v="1"/>
    <x v="1"/>
    <x v="2"/>
  </r>
  <r>
    <s v="TX500113"/>
    <x v="7"/>
    <x v="1"/>
    <n v="37.299999999999997"/>
    <n v="74.599999999999994"/>
    <x v="4"/>
    <d v="2025-01-06T00:00:00"/>
    <s v="M"/>
    <x v="2"/>
    <x v="0"/>
    <x v="0"/>
    <x v="3"/>
    <x v="3"/>
    <x v="1"/>
    <x v="1"/>
  </r>
  <r>
    <s v="TX500114"/>
    <x v="18"/>
    <x v="0"/>
    <n v="119.8"/>
    <n v="119.8"/>
    <x v="4"/>
    <d v="2025-01-06T00:00:00"/>
    <s v="M"/>
    <x v="1"/>
    <x v="1"/>
    <x v="0"/>
    <x v="3"/>
    <x v="3"/>
    <x v="1"/>
    <x v="1"/>
  </r>
  <r>
    <s v="TX500115"/>
    <x v="10"/>
    <x v="1"/>
    <n v="26.4"/>
    <n v="52.8"/>
    <x v="4"/>
    <d v="2025-01-08T00:00:00"/>
    <s v="M"/>
    <x v="2"/>
    <x v="0"/>
    <x v="0"/>
    <x v="3"/>
    <x v="2"/>
    <x v="1"/>
    <x v="1"/>
  </r>
  <r>
    <s v="TX500116"/>
    <x v="6"/>
    <x v="13"/>
    <n v="76.5"/>
    <n v="459"/>
    <x v="4"/>
    <d v="2025-01-06T00:00:00"/>
    <s v="F"/>
    <x v="1"/>
    <x v="1"/>
    <x v="0"/>
    <x v="3"/>
    <x v="3"/>
    <x v="1"/>
    <x v="2"/>
  </r>
  <r>
    <s v="TX500117"/>
    <x v="4"/>
    <x v="7"/>
    <n v="45.7"/>
    <n v="457"/>
    <x v="4"/>
    <d v="2025-01-06T00:00:00"/>
    <s v="F"/>
    <x v="2"/>
    <x v="0"/>
    <x v="0"/>
    <x v="24"/>
    <x v="3"/>
    <x v="1"/>
    <x v="2"/>
  </r>
  <r>
    <s v="TX500118"/>
    <x v="1"/>
    <x v="4"/>
    <n v="92.6"/>
    <n v="1111.1999999999998"/>
    <x v="4"/>
    <d v="2025-01-07T00:00:00"/>
    <s v="F"/>
    <x v="2"/>
    <x v="0"/>
    <x v="0"/>
    <x v="25"/>
    <x v="1"/>
    <x v="1"/>
    <x v="2"/>
  </r>
  <r>
    <s v="TX500119"/>
    <x v="6"/>
    <x v="13"/>
    <n v="60.1"/>
    <n v="360.6"/>
    <x v="4"/>
    <d v="2025-01-06T00:00:00"/>
    <s v="M"/>
    <x v="1"/>
    <x v="0"/>
    <x v="0"/>
    <x v="23"/>
    <x v="3"/>
    <x v="1"/>
    <x v="1"/>
  </r>
  <r>
    <s v="TX500120"/>
    <x v="1"/>
    <x v="2"/>
    <n v="73"/>
    <n v="219"/>
    <x v="4"/>
    <d v="2025-01-06T00:00:00"/>
    <s v="F"/>
    <x v="3"/>
    <x v="1"/>
    <x v="0"/>
    <x v="6"/>
    <x v="3"/>
    <x v="1"/>
    <x v="2"/>
  </r>
  <r>
    <s v="TX500121"/>
    <x v="6"/>
    <x v="2"/>
    <n v="44.3"/>
    <n v="132.89999999999998"/>
    <x v="4"/>
    <d v="2025-01-09T00:00:00"/>
    <s v=""/>
    <x v="2"/>
    <x v="2"/>
    <x v="0"/>
    <x v="6"/>
    <x v="5"/>
    <x v="1"/>
    <x v="0"/>
  </r>
  <r>
    <s v="TX500122"/>
    <x v="6"/>
    <x v="2"/>
    <n v="63.3"/>
    <n v="189.89999999999998"/>
    <x v="4"/>
    <d v="2025-01-06T00:00:00"/>
    <s v="M"/>
    <x v="2"/>
    <x v="0"/>
    <x v="0"/>
    <x v="6"/>
    <x v="3"/>
    <x v="1"/>
    <x v="1"/>
  </r>
  <r>
    <s v="TX500123"/>
    <x v="12"/>
    <x v="0"/>
    <n v="66.8"/>
    <n v="66.8"/>
    <x v="4"/>
    <d v="2025-01-06T00:00:00"/>
    <s v="F"/>
    <x v="1"/>
    <x v="0"/>
    <x v="0"/>
    <x v="6"/>
    <x v="3"/>
    <x v="1"/>
    <x v="2"/>
  </r>
  <r>
    <s v="TX500124"/>
    <x v="2"/>
    <x v="1"/>
    <n v="59.7"/>
    <n v="119.4"/>
    <x v="4"/>
    <d v="2025-01-06T00:00:00"/>
    <s v="F"/>
    <x v="0"/>
    <x v="0"/>
    <x v="0"/>
    <x v="7"/>
    <x v="3"/>
    <x v="1"/>
    <x v="2"/>
  </r>
  <r>
    <s v="TX500125"/>
    <x v="1"/>
    <x v="13"/>
    <n v="92"/>
    <n v="552"/>
    <x v="4"/>
    <d v="2025-01-07T00:00:00"/>
    <s v="M"/>
    <x v="0"/>
    <x v="4"/>
    <x v="0"/>
    <x v="7"/>
    <x v="1"/>
    <x v="1"/>
    <x v="1"/>
  </r>
  <r>
    <s v="TX500126"/>
    <x v="7"/>
    <x v="1"/>
    <n v="87.6"/>
    <n v="175.2"/>
    <x v="4"/>
    <d v="2025-01-07T00:00:00"/>
    <s v="M"/>
    <x v="1"/>
    <x v="1"/>
    <x v="0"/>
    <x v="8"/>
    <x v="1"/>
    <x v="1"/>
    <x v="1"/>
  </r>
  <r>
    <s v="TX500127"/>
    <x v="6"/>
    <x v="2"/>
    <n v="84.5"/>
    <n v="253.5"/>
    <x v="4"/>
    <d v="2025-01-06T00:00:00"/>
    <s v="F"/>
    <x v="1"/>
    <x v="1"/>
    <x v="0"/>
    <x v="8"/>
    <x v="3"/>
    <x v="1"/>
    <x v="2"/>
  </r>
  <r>
    <s v="TX500128"/>
    <x v="1"/>
    <x v="1"/>
    <n v="116.3"/>
    <n v="232.6"/>
    <x v="5"/>
    <d v="2025-01-08T00:00:00"/>
    <s v="M"/>
    <x v="2"/>
    <x v="2"/>
    <x v="0"/>
    <x v="8"/>
    <x v="1"/>
    <x v="1"/>
    <x v="1"/>
  </r>
  <r>
    <s v="TX500129"/>
    <x v="6"/>
    <x v="9"/>
    <n v="52.7"/>
    <n v="263.5"/>
    <x v="5"/>
    <d v="2025-01-10T00:00:00"/>
    <s v="M"/>
    <x v="0"/>
    <x v="0"/>
    <x v="0"/>
    <x v="8"/>
    <x v="5"/>
    <x v="1"/>
    <x v="1"/>
  </r>
  <r>
    <s v="TX500130"/>
    <x v="16"/>
    <x v="2"/>
    <n v="34.200000000000003"/>
    <n v="102.60000000000001"/>
    <x v="5"/>
    <d v="2025-01-07T00:00:00"/>
    <s v="M"/>
    <x v="0"/>
    <x v="2"/>
    <x v="0"/>
    <x v="26"/>
    <x v="3"/>
    <x v="1"/>
    <x v="1"/>
  </r>
  <r>
    <s v="TX500131"/>
    <x v="9"/>
    <x v="0"/>
    <n v="23.3"/>
    <n v="23.3"/>
    <x v="5"/>
    <d v="2025-01-15T00:00:00"/>
    <s v="O"/>
    <x v="2"/>
    <x v="2"/>
    <x v="0"/>
    <x v="9"/>
    <x v="8"/>
    <x v="1"/>
    <x v="3"/>
  </r>
  <r>
    <s v="TX500132"/>
    <x v="0"/>
    <x v="18"/>
    <n v="25.9"/>
    <n v="673.4"/>
    <x v="5"/>
    <d v="2025-01-09T00:00:00"/>
    <s v="F"/>
    <x v="4"/>
    <x v="1"/>
    <x v="0"/>
    <x v="9"/>
    <x v="2"/>
    <x v="1"/>
    <x v="2"/>
  </r>
  <r>
    <s v="TX500133"/>
    <x v="6"/>
    <x v="19"/>
    <n v="54.9"/>
    <n v="1592.1"/>
    <x v="5"/>
    <d v="2025-01-07T00:00:00"/>
    <s v="M"/>
    <x v="1"/>
    <x v="2"/>
    <x v="0"/>
    <x v="9"/>
    <x v="3"/>
    <x v="1"/>
    <x v="1"/>
  </r>
  <r>
    <s v="TX500134"/>
    <x v="5"/>
    <x v="2"/>
    <n v="75.8"/>
    <n v="227.39999999999998"/>
    <x v="5"/>
    <d v="2025-01-11T00:00:00"/>
    <s v="O"/>
    <x v="1"/>
    <x v="0"/>
    <x v="0"/>
    <x v="18"/>
    <x v="0"/>
    <x v="1"/>
    <x v="3"/>
  </r>
  <r>
    <s v="TX500135"/>
    <x v="1"/>
    <x v="11"/>
    <n v="44.9"/>
    <n v="404.09999999999997"/>
    <x v="5"/>
    <d v="2025-01-09T00:00:00"/>
    <s v="F"/>
    <x v="2"/>
    <x v="2"/>
    <x v="0"/>
    <x v="2"/>
    <x v="2"/>
    <x v="1"/>
    <x v="2"/>
  </r>
  <r>
    <s v="TX500136"/>
    <x v="11"/>
    <x v="1"/>
    <n v="48.8"/>
    <n v="97.6"/>
    <x v="5"/>
    <d v="2025-01-08T00:00:00"/>
    <s v="F"/>
    <x v="3"/>
    <x v="0"/>
    <x v="0"/>
    <x v="27"/>
    <x v="1"/>
    <x v="1"/>
    <x v="2"/>
  </r>
  <r>
    <s v="TX500137"/>
    <x v="15"/>
    <x v="0"/>
    <n v="20.3"/>
    <n v="20.3"/>
    <x v="5"/>
    <d v="2025-01-07T00:00:00"/>
    <s v="F"/>
    <x v="0"/>
    <x v="2"/>
    <x v="0"/>
    <x v="22"/>
    <x v="3"/>
    <x v="1"/>
    <x v="2"/>
  </r>
  <r>
    <s v="TX500138"/>
    <x v="5"/>
    <x v="3"/>
    <n v="36.4"/>
    <n v="254.79999999999998"/>
    <x v="5"/>
    <d v="2025-01-09T00:00:00"/>
    <s v="F"/>
    <x v="0"/>
    <x v="1"/>
    <x v="0"/>
    <x v="3"/>
    <x v="2"/>
    <x v="1"/>
    <x v="2"/>
  </r>
  <r>
    <s v="TX500139"/>
    <x v="0"/>
    <x v="0"/>
    <n v="19"/>
    <n v="19"/>
    <x v="5"/>
    <d v="2025-01-11T00:00:00"/>
    <s v="F"/>
    <x v="1"/>
    <x v="2"/>
    <x v="0"/>
    <x v="3"/>
    <x v="0"/>
    <x v="1"/>
    <x v="2"/>
  </r>
  <r>
    <s v="TX500140"/>
    <x v="8"/>
    <x v="0"/>
    <n v="17.8"/>
    <n v="17.8"/>
    <x v="5"/>
    <d v="2025-01-06T00:00:00"/>
    <s v="M"/>
    <x v="0"/>
    <x v="0"/>
    <x v="0"/>
    <x v="3"/>
    <x v="7"/>
    <x v="1"/>
    <x v="1"/>
  </r>
  <r>
    <s v="TX500141"/>
    <x v="2"/>
    <x v="13"/>
    <n v="139.6"/>
    <n v="837.59999999999991"/>
    <x v="5"/>
    <d v="2025-01-09T00:00:00"/>
    <s v="M"/>
    <x v="0"/>
    <x v="0"/>
    <x v="0"/>
    <x v="3"/>
    <x v="2"/>
    <x v="1"/>
    <x v="1"/>
  </r>
  <r>
    <s v="TX500142"/>
    <x v="9"/>
    <x v="0"/>
    <n v="31.7"/>
    <n v="31.7"/>
    <x v="5"/>
    <d v="2025-01-06T00:00:00"/>
    <s v=""/>
    <x v="0"/>
    <x v="0"/>
    <x v="0"/>
    <x v="3"/>
    <x v="7"/>
    <x v="1"/>
    <x v="0"/>
  </r>
  <r>
    <s v="TX500143"/>
    <x v="8"/>
    <x v="8"/>
    <n v="26.3"/>
    <n v="210.4"/>
    <x v="5"/>
    <d v="2025-01-09T00:00:00"/>
    <s v="F"/>
    <x v="4"/>
    <x v="4"/>
    <x v="0"/>
    <x v="3"/>
    <x v="2"/>
    <x v="1"/>
    <x v="2"/>
  </r>
  <r>
    <s v="TX500144"/>
    <x v="4"/>
    <x v="1"/>
    <n v="47.8"/>
    <n v="95.6"/>
    <x v="5"/>
    <d v="2025-01-07T00:00:00"/>
    <s v=""/>
    <x v="0"/>
    <x v="0"/>
    <x v="0"/>
    <x v="3"/>
    <x v="3"/>
    <x v="1"/>
    <x v="0"/>
  </r>
  <r>
    <s v="TX500145"/>
    <x v="9"/>
    <x v="2"/>
    <n v="69.400000000000006"/>
    <n v="208.20000000000002"/>
    <x v="5"/>
    <d v="2025-01-10T00:00:00"/>
    <s v="F"/>
    <x v="0"/>
    <x v="0"/>
    <x v="0"/>
    <x v="3"/>
    <x v="5"/>
    <x v="1"/>
    <x v="2"/>
  </r>
  <r>
    <s v="TX500146"/>
    <x v="18"/>
    <x v="4"/>
    <n v="25.8"/>
    <n v="309.60000000000002"/>
    <x v="5"/>
    <d v="2025-01-07T00:00:00"/>
    <s v="M"/>
    <x v="4"/>
    <x v="4"/>
    <x v="0"/>
    <x v="3"/>
    <x v="3"/>
    <x v="1"/>
    <x v="1"/>
  </r>
  <r>
    <s v="TX500147"/>
    <x v="0"/>
    <x v="12"/>
    <n v="26.4"/>
    <n v="105.6"/>
    <x v="5"/>
    <d v="2025-01-07T00:00:00"/>
    <s v="M"/>
    <x v="1"/>
    <x v="2"/>
    <x v="0"/>
    <x v="3"/>
    <x v="3"/>
    <x v="1"/>
    <x v="1"/>
  </r>
  <r>
    <s v="TX500148"/>
    <x v="8"/>
    <x v="12"/>
    <n v="15.7"/>
    <n v="62.8"/>
    <x v="5"/>
    <d v="2025-01-07T00:00:00"/>
    <s v="M"/>
    <x v="2"/>
    <x v="0"/>
    <x v="0"/>
    <x v="3"/>
    <x v="3"/>
    <x v="1"/>
    <x v="1"/>
  </r>
  <r>
    <s v="TX500149"/>
    <x v="8"/>
    <x v="0"/>
    <n v="39.700000000000003"/>
    <n v="39.700000000000003"/>
    <x v="5"/>
    <d v="2025-01-10T00:00:00"/>
    <s v="M"/>
    <x v="0"/>
    <x v="0"/>
    <x v="0"/>
    <x v="3"/>
    <x v="5"/>
    <x v="1"/>
    <x v="1"/>
  </r>
  <r>
    <s v="TX500150"/>
    <x v="10"/>
    <x v="12"/>
    <n v="31.1"/>
    <n v="124.4"/>
    <x v="5"/>
    <d v="2025-01-08T00:00:00"/>
    <s v="F"/>
    <x v="2"/>
    <x v="1"/>
    <x v="0"/>
    <x v="3"/>
    <x v="1"/>
    <x v="1"/>
    <x v="2"/>
  </r>
  <r>
    <s v="TX500151"/>
    <x v="13"/>
    <x v="20"/>
    <n v="23.4"/>
    <n v="351"/>
    <x v="5"/>
    <d v="2025-01-15T00:00:00"/>
    <s v="M"/>
    <x v="0"/>
    <x v="0"/>
    <x v="0"/>
    <x v="3"/>
    <x v="8"/>
    <x v="1"/>
    <x v="1"/>
  </r>
  <r>
    <s v="TX500152"/>
    <x v="1"/>
    <x v="12"/>
    <n v="57.1"/>
    <n v="228.4"/>
    <x v="6"/>
    <d v="2025-01-08T00:00:00"/>
    <s v="M"/>
    <x v="2"/>
    <x v="0"/>
    <x v="0"/>
    <x v="25"/>
    <x v="3"/>
    <x v="1"/>
    <x v="1"/>
  </r>
  <r>
    <s v="TX500153"/>
    <x v="2"/>
    <x v="9"/>
    <n v="89.9"/>
    <n v="449.5"/>
    <x v="6"/>
    <d v="2025-01-07T00:00:00"/>
    <s v="F"/>
    <x v="0"/>
    <x v="3"/>
    <x v="0"/>
    <x v="23"/>
    <x v="7"/>
    <x v="1"/>
    <x v="2"/>
  </r>
  <r>
    <s v="TX500154"/>
    <x v="10"/>
    <x v="3"/>
    <n v="48.1"/>
    <n v="336.7"/>
    <x v="6"/>
    <d v="2025-01-09T00:00:00"/>
    <s v="F"/>
    <x v="1"/>
    <x v="2"/>
    <x v="0"/>
    <x v="6"/>
    <x v="1"/>
    <x v="1"/>
    <x v="2"/>
  </r>
  <r>
    <s v="TX500155"/>
    <x v="8"/>
    <x v="1"/>
    <n v="29.3"/>
    <n v="58.6"/>
    <x v="6"/>
    <d v="2025-01-07T00:00:00"/>
    <s v="F"/>
    <x v="1"/>
    <x v="1"/>
    <x v="0"/>
    <x v="6"/>
    <x v="7"/>
    <x v="1"/>
    <x v="2"/>
  </r>
  <r>
    <s v="TX500156"/>
    <x v="8"/>
    <x v="12"/>
    <n v="28.8"/>
    <n v="115.2"/>
    <x v="6"/>
    <d v="2025-01-08T00:00:00"/>
    <s v="F"/>
    <x v="0"/>
    <x v="4"/>
    <x v="0"/>
    <x v="6"/>
    <x v="3"/>
    <x v="1"/>
    <x v="2"/>
  </r>
  <r>
    <s v="TX500157"/>
    <x v="10"/>
    <x v="9"/>
    <n v="40.5"/>
    <n v="202.5"/>
    <x v="6"/>
    <d v="2025-01-11T00:00:00"/>
    <s v="F"/>
    <x v="3"/>
    <x v="0"/>
    <x v="0"/>
    <x v="6"/>
    <x v="5"/>
    <x v="1"/>
    <x v="2"/>
  </r>
  <r>
    <s v="TX500158"/>
    <x v="18"/>
    <x v="21"/>
    <n v="65.099999999999994"/>
    <n v="911.39999999999986"/>
    <x v="6"/>
    <d v="2025-01-08T00:00:00"/>
    <s v="F"/>
    <x v="4"/>
    <x v="0"/>
    <x v="0"/>
    <x v="7"/>
    <x v="3"/>
    <x v="1"/>
    <x v="2"/>
  </r>
  <r>
    <s v="TX500159"/>
    <x v="8"/>
    <x v="12"/>
    <n v="40.299999999999997"/>
    <n v="161.19999999999999"/>
    <x v="6"/>
    <d v="2025-01-12T00:00:00"/>
    <s v="F"/>
    <x v="2"/>
    <x v="0"/>
    <x v="0"/>
    <x v="7"/>
    <x v="0"/>
    <x v="1"/>
    <x v="2"/>
  </r>
  <r>
    <s v="TX500160"/>
    <x v="6"/>
    <x v="9"/>
    <n v="51.8"/>
    <n v="259"/>
    <x v="6"/>
    <d v="2025-01-08T00:00:00"/>
    <s v="M"/>
    <x v="2"/>
    <x v="2"/>
    <x v="0"/>
    <x v="8"/>
    <x v="3"/>
    <x v="1"/>
    <x v="1"/>
  </r>
  <r>
    <s v="TX500161"/>
    <x v="6"/>
    <x v="2"/>
    <n v="61.3"/>
    <n v="183.89999999999998"/>
    <x v="6"/>
    <d v="2025-01-08T00:00:00"/>
    <s v="F"/>
    <x v="3"/>
    <x v="0"/>
    <x v="0"/>
    <x v="8"/>
    <x v="3"/>
    <x v="1"/>
    <x v="2"/>
  </r>
  <r>
    <s v="TX500162"/>
    <x v="2"/>
    <x v="12"/>
    <n v="122.5"/>
    <n v="490"/>
    <x v="6"/>
    <d v="2025-01-08T00:00:00"/>
    <s v="M"/>
    <x v="0"/>
    <x v="0"/>
    <x v="0"/>
    <x v="8"/>
    <x v="3"/>
    <x v="1"/>
    <x v="1"/>
  </r>
  <r>
    <s v="TX500163"/>
    <x v="0"/>
    <x v="11"/>
    <n v="12.5"/>
    <n v="112.5"/>
    <x v="6"/>
    <d v="2025-01-08T00:00:00"/>
    <s v=""/>
    <x v="1"/>
    <x v="2"/>
    <x v="0"/>
    <x v="8"/>
    <x v="3"/>
    <x v="1"/>
    <x v="0"/>
  </r>
  <r>
    <s v="TX500164"/>
    <x v="15"/>
    <x v="8"/>
    <n v="37.5"/>
    <n v="300"/>
    <x v="6"/>
    <d v="2025-01-08T00:00:00"/>
    <s v="F"/>
    <x v="0"/>
    <x v="0"/>
    <x v="0"/>
    <x v="9"/>
    <x v="3"/>
    <x v="1"/>
    <x v="2"/>
  </r>
  <r>
    <s v="TX500165"/>
    <x v="6"/>
    <x v="2"/>
    <n v="40"/>
    <n v="120"/>
    <x v="6"/>
    <d v="2025-01-10T00:00:00"/>
    <s v="M"/>
    <x v="0"/>
    <x v="4"/>
    <x v="0"/>
    <x v="11"/>
    <x v="2"/>
    <x v="1"/>
    <x v="1"/>
  </r>
  <r>
    <s v="TX500166"/>
    <x v="17"/>
    <x v="8"/>
    <n v="38.5"/>
    <n v="308"/>
    <x v="6"/>
    <d v="2025-01-12T00:00:00"/>
    <s v="F"/>
    <x v="2"/>
    <x v="1"/>
    <x v="0"/>
    <x v="11"/>
    <x v="0"/>
    <x v="1"/>
    <x v="2"/>
  </r>
  <r>
    <s v="TX500167"/>
    <x v="2"/>
    <x v="1"/>
    <n v="86.4"/>
    <n v="172.8"/>
    <x v="6"/>
    <d v="2025-01-09T00:00:00"/>
    <s v="F"/>
    <x v="0"/>
    <x v="0"/>
    <x v="0"/>
    <x v="18"/>
    <x v="1"/>
    <x v="1"/>
    <x v="2"/>
  </r>
  <r>
    <s v="TX500168"/>
    <x v="10"/>
    <x v="0"/>
    <n v="50.7"/>
    <n v="50.7"/>
    <x v="6"/>
    <d v="2025-01-11T00:00:00"/>
    <s v="F"/>
    <x v="1"/>
    <x v="0"/>
    <x v="0"/>
    <x v="18"/>
    <x v="5"/>
    <x v="1"/>
    <x v="2"/>
  </r>
  <r>
    <s v="TX500169"/>
    <x v="10"/>
    <x v="1"/>
    <n v="61"/>
    <n v="122"/>
    <x v="6"/>
    <d v="2025-01-18T00:00:00"/>
    <s v="F"/>
    <x v="4"/>
    <x v="1"/>
    <x v="0"/>
    <x v="18"/>
    <x v="11"/>
    <x v="1"/>
    <x v="2"/>
  </r>
  <r>
    <s v="TX500170"/>
    <x v="4"/>
    <x v="1"/>
    <n v="19.899999999999999"/>
    <n v="39.799999999999997"/>
    <x v="6"/>
    <d v="2025-01-10T00:00:00"/>
    <s v="F"/>
    <x v="1"/>
    <x v="0"/>
    <x v="0"/>
    <x v="28"/>
    <x v="2"/>
    <x v="1"/>
    <x v="2"/>
  </r>
  <r>
    <s v="TX500171"/>
    <x v="5"/>
    <x v="0"/>
    <n v="78.3"/>
    <n v="78.3"/>
    <x v="6"/>
    <d v="2025-01-07T00:00:00"/>
    <s v="F"/>
    <x v="0"/>
    <x v="2"/>
    <x v="0"/>
    <x v="1"/>
    <x v="7"/>
    <x v="1"/>
    <x v="2"/>
  </r>
  <r>
    <s v="TX500172"/>
    <x v="0"/>
    <x v="10"/>
    <n v="10.4"/>
    <n v="197.6"/>
    <x v="6"/>
    <d v="2025-01-09T00:00:00"/>
    <s v="M"/>
    <x v="0"/>
    <x v="2"/>
    <x v="0"/>
    <x v="2"/>
    <x v="1"/>
    <x v="1"/>
    <x v="1"/>
  </r>
  <r>
    <s v="TX500173"/>
    <x v="10"/>
    <x v="0"/>
    <n v="36.1"/>
    <n v="36.1"/>
    <x v="6"/>
    <d v="2025-01-10T00:00:00"/>
    <s v="M"/>
    <x v="3"/>
    <x v="2"/>
    <x v="0"/>
    <x v="3"/>
    <x v="2"/>
    <x v="1"/>
    <x v="1"/>
  </r>
  <r>
    <s v="TX500174"/>
    <x v="14"/>
    <x v="1"/>
    <n v="17.3"/>
    <n v="34.6"/>
    <x v="6"/>
    <d v="2025-01-09T00:00:00"/>
    <s v="F"/>
    <x v="1"/>
    <x v="2"/>
    <x v="0"/>
    <x v="3"/>
    <x v="1"/>
    <x v="1"/>
    <x v="2"/>
  </r>
  <r>
    <s v="TX500175"/>
    <x v="10"/>
    <x v="1"/>
    <n v="30.5"/>
    <n v="61"/>
    <x v="6"/>
    <d v="2025-01-08T00:00:00"/>
    <s v="F"/>
    <x v="1"/>
    <x v="2"/>
    <x v="0"/>
    <x v="3"/>
    <x v="3"/>
    <x v="1"/>
    <x v="2"/>
  </r>
  <r>
    <s v="TX500176"/>
    <x v="18"/>
    <x v="22"/>
    <n v="70.099999999999994"/>
    <n v="4346.2"/>
    <x v="6"/>
    <d v="2025-01-07T00:00:00"/>
    <s v="F"/>
    <x v="2"/>
    <x v="0"/>
    <x v="0"/>
    <x v="3"/>
    <x v="7"/>
    <x v="1"/>
    <x v="2"/>
  </r>
  <r>
    <s v="TX500177"/>
    <x v="3"/>
    <x v="0"/>
    <n v="76.099999999999994"/>
    <n v="76.099999999999994"/>
    <x v="6"/>
    <d v="2025-01-07T00:00:00"/>
    <s v="F"/>
    <x v="2"/>
    <x v="1"/>
    <x v="0"/>
    <x v="3"/>
    <x v="7"/>
    <x v="1"/>
    <x v="2"/>
  </r>
  <r>
    <s v="TX500178"/>
    <x v="15"/>
    <x v="15"/>
    <n v="34.200000000000003"/>
    <n v="444.6"/>
    <x v="6"/>
    <d v="2025-01-08T00:00:00"/>
    <s v="M"/>
    <x v="0"/>
    <x v="0"/>
    <x v="0"/>
    <x v="3"/>
    <x v="3"/>
    <x v="1"/>
    <x v="1"/>
  </r>
  <r>
    <s v="TX500179"/>
    <x v="8"/>
    <x v="9"/>
    <n v="30.3"/>
    <n v="151.5"/>
    <x v="6"/>
    <d v="2025-01-12T00:00:00"/>
    <s v="F"/>
    <x v="4"/>
    <x v="0"/>
    <x v="0"/>
    <x v="3"/>
    <x v="0"/>
    <x v="1"/>
    <x v="2"/>
  </r>
  <r>
    <s v="TX500180"/>
    <x v="6"/>
    <x v="9"/>
    <n v="52.5"/>
    <n v="262.5"/>
    <x v="6"/>
    <d v="2025-01-11T00:00:00"/>
    <s v=""/>
    <x v="3"/>
    <x v="0"/>
    <x v="0"/>
    <x v="3"/>
    <x v="5"/>
    <x v="1"/>
    <x v="0"/>
  </r>
  <r>
    <s v="TX500181"/>
    <x v="9"/>
    <x v="5"/>
    <n v="28.7"/>
    <n v="315.7"/>
    <x v="6"/>
    <d v="2025-01-08T00:00:00"/>
    <s v="F"/>
    <x v="2"/>
    <x v="0"/>
    <x v="0"/>
    <x v="3"/>
    <x v="3"/>
    <x v="1"/>
    <x v="2"/>
  </r>
  <r>
    <s v="TX500182"/>
    <x v="7"/>
    <x v="3"/>
    <n v="52"/>
    <n v="364"/>
    <x v="6"/>
    <d v="2025-01-08T00:00:00"/>
    <s v="M"/>
    <x v="1"/>
    <x v="4"/>
    <x v="0"/>
    <x v="3"/>
    <x v="3"/>
    <x v="1"/>
    <x v="1"/>
  </r>
  <r>
    <s v="TX500183"/>
    <x v="0"/>
    <x v="0"/>
    <n v="13.3"/>
    <n v="13.3"/>
    <x v="7"/>
    <d v="2025-01-12T00:00:00"/>
    <s v="F"/>
    <x v="2"/>
    <x v="1"/>
    <x v="0"/>
    <x v="3"/>
    <x v="5"/>
    <x v="1"/>
    <x v="2"/>
  </r>
  <r>
    <s v="TX500184"/>
    <x v="0"/>
    <x v="2"/>
    <n v="15.7"/>
    <n v="47.099999999999994"/>
    <x v="7"/>
    <d v="2025-01-09T00:00:00"/>
    <s v="F"/>
    <x v="1"/>
    <x v="0"/>
    <x v="0"/>
    <x v="29"/>
    <x v="3"/>
    <x v="1"/>
    <x v="2"/>
  </r>
  <r>
    <s v="TX500185"/>
    <x v="8"/>
    <x v="1"/>
    <n v="25.6"/>
    <n v="51.2"/>
    <x v="7"/>
    <d v="2025-01-09T00:00:00"/>
    <s v="M"/>
    <x v="0"/>
    <x v="2"/>
    <x v="0"/>
    <x v="23"/>
    <x v="3"/>
    <x v="1"/>
    <x v="1"/>
  </r>
  <r>
    <s v="TX500186"/>
    <x v="8"/>
    <x v="0"/>
    <n v="43.4"/>
    <n v="43.4"/>
    <x v="7"/>
    <d v="2025-01-13T00:00:00"/>
    <s v="M"/>
    <x v="0"/>
    <x v="0"/>
    <x v="0"/>
    <x v="6"/>
    <x v="0"/>
    <x v="1"/>
    <x v="1"/>
  </r>
  <r>
    <s v="TX500187"/>
    <x v="11"/>
    <x v="11"/>
    <n v="33.4"/>
    <n v="300.59999999999997"/>
    <x v="7"/>
    <d v="2025-01-08T00:00:00"/>
    <s v="F"/>
    <x v="0"/>
    <x v="0"/>
    <x v="0"/>
    <x v="8"/>
    <x v="7"/>
    <x v="1"/>
    <x v="2"/>
  </r>
  <r>
    <s v="TX500188"/>
    <x v="8"/>
    <x v="10"/>
    <n v="55"/>
    <n v="1045"/>
    <x v="7"/>
    <d v="2025-01-09T00:00:00"/>
    <s v="F"/>
    <x v="1"/>
    <x v="2"/>
    <x v="0"/>
    <x v="8"/>
    <x v="3"/>
    <x v="1"/>
    <x v="2"/>
  </r>
  <r>
    <s v="TX500189"/>
    <x v="8"/>
    <x v="2"/>
    <n v="23.6"/>
    <n v="70.800000000000011"/>
    <x v="7"/>
    <d v="2025-01-09T00:00:00"/>
    <s v="M"/>
    <x v="0"/>
    <x v="2"/>
    <x v="0"/>
    <x v="8"/>
    <x v="3"/>
    <x v="1"/>
    <x v="1"/>
  </r>
  <r>
    <s v="TX500190"/>
    <x v="12"/>
    <x v="11"/>
    <n v="104"/>
    <n v="936"/>
    <x v="7"/>
    <d v="2025-01-10T00:00:00"/>
    <s v="F"/>
    <x v="2"/>
    <x v="2"/>
    <x v="0"/>
    <x v="17"/>
    <x v="1"/>
    <x v="1"/>
    <x v="2"/>
  </r>
  <r>
    <s v="TX500191"/>
    <x v="6"/>
    <x v="1"/>
    <n v="51.8"/>
    <n v="103.6"/>
    <x v="7"/>
    <d v="2025-01-12T00:00:00"/>
    <s v=""/>
    <x v="0"/>
    <x v="2"/>
    <x v="0"/>
    <x v="10"/>
    <x v="5"/>
    <x v="1"/>
    <x v="0"/>
  </r>
  <r>
    <s v="TX500192"/>
    <x v="10"/>
    <x v="9"/>
    <n v="34.5"/>
    <n v="172.5"/>
    <x v="7"/>
    <d v="2025-01-10T00:00:00"/>
    <s v=""/>
    <x v="2"/>
    <x v="2"/>
    <x v="0"/>
    <x v="11"/>
    <x v="1"/>
    <x v="1"/>
    <x v="0"/>
  </r>
  <r>
    <s v="TX500193"/>
    <x v="6"/>
    <x v="1"/>
    <n v="51.8"/>
    <n v="103.6"/>
    <x v="7"/>
    <d v="2025-01-10T00:00:00"/>
    <s v="M"/>
    <x v="1"/>
    <x v="2"/>
    <x v="0"/>
    <x v="30"/>
    <x v="1"/>
    <x v="1"/>
    <x v="1"/>
  </r>
  <r>
    <s v="TX500194"/>
    <x v="18"/>
    <x v="23"/>
    <n v="131.5"/>
    <n v="5654.5"/>
    <x v="7"/>
    <d v="2025-01-09T00:00:00"/>
    <s v="F"/>
    <x v="0"/>
    <x v="2"/>
    <x v="0"/>
    <x v="18"/>
    <x v="3"/>
    <x v="1"/>
    <x v="2"/>
  </r>
  <r>
    <s v="TX500195"/>
    <x v="8"/>
    <x v="3"/>
    <n v="47.8"/>
    <n v="334.59999999999997"/>
    <x v="7"/>
    <d v="2025-01-08T00:00:00"/>
    <s v="F"/>
    <x v="0"/>
    <x v="0"/>
    <x v="0"/>
    <x v="19"/>
    <x v="7"/>
    <x v="1"/>
    <x v="2"/>
  </r>
  <r>
    <s v="TX500196"/>
    <x v="0"/>
    <x v="1"/>
    <n v="10.199999999999999"/>
    <n v="20.399999999999999"/>
    <x v="7"/>
    <d v="2025-01-10T00:00:00"/>
    <s v="F"/>
    <x v="0"/>
    <x v="0"/>
    <x v="0"/>
    <x v="19"/>
    <x v="1"/>
    <x v="1"/>
    <x v="2"/>
  </r>
  <r>
    <s v="TX500197"/>
    <x v="8"/>
    <x v="8"/>
    <n v="41"/>
    <n v="328"/>
    <x v="7"/>
    <d v="2025-01-08T00:00:00"/>
    <s v="F"/>
    <x v="1"/>
    <x v="2"/>
    <x v="0"/>
    <x v="19"/>
    <x v="7"/>
    <x v="1"/>
    <x v="2"/>
  </r>
  <r>
    <s v="TX500198"/>
    <x v="10"/>
    <x v="3"/>
    <n v="50.8"/>
    <n v="355.59999999999997"/>
    <x v="7"/>
    <d v="2025-01-11T00:00:00"/>
    <s v="F"/>
    <x v="1"/>
    <x v="0"/>
    <x v="0"/>
    <x v="21"/>
    <x v="2"/>
    <x v="1"/>
    <x v="2"/>
  </r>
  <r>
    <s v="TX500199"/>
    <x v="18"/>
    <x v="2"/>
    <n v="39.6"/>
    <n v="118.80000000000001"/>
    <x v="7"/>
    <d v="2025-01-09T00:00:00"/>
    <s v="M"/>
    <x v="2"/>
    <x v="2"/>
    <x v="0"/>
    <x v="1"/>
    <x v="3"/>
    <x v="1"/>
    <x v="1"/>
  </r>
  <r>
    <s v="TX500200"/>
    <x v="5"/>
    <x v="1"/>
    <n v="69.5"/>
    <n v="139"/>
    <x v="7"/>
    <d v="2025-01-10T00:00:00"/>
    <s v="M"/>
    <x v="0"/>
    <x v="2"/>
    <x v="0"/>
    <x v="2"/>
    <x v="1"/>
    <x v="1"/>
    <x v="1"/>
  </r>
  <r>
    <s v="TX500201"/>
    <x v="8"/>
    <x v="8"/>
    <n v="32.6"/>
    <n v="260.8"/>
    <x v="7"/>
    <d v="2025-01-11T00:00:00"/>
    <s v="M"/>
    <x v="1"/>
    <x v="0"/>
    <x v="0"/>
    <x v="3"/>
    <x v="2"/>
    <x v="1"/>
    <x v="1"/>
  </r>
  <r>
    <s v="TX500202"/>
    <x v="7"/>
    <x v="1"/>
    <n v="49.1"/>
    <n v="98.2"/>
    <x v="7"/>
    <d v="2025-01-16T00:00:00"/>
    <s v="M"/>
    <x v="3"/>
    <x v="2"/>
    <x v="0"/>
    <x v="3"/>
    <x v="9"/>
    <x v="1"/>
    <x v="1"/>
  </r>
  <r>
    <s v="TX500203"/>
    <x v="6"/>
    <x v="1"/>
    <n v="49.4"/>
    <n v="98.8"/>
    <x v="8"/>
    <d v="2025-01-10T00:00:00"/>
    <s v="F"/>
    <x v="2"/>
    <x v="0"/>
    <x v="0"/>
    <x v="3"/>
    <x v="3"/>
    <x v="1"/>
    <x v="2"/>
  </r>
  <r>
    <s v="TX500204"/>
    <x v="7"/>
    <x v="3"/>
    <n v="65.099999999999994"/>
    <n v="455.69999999999993"/>
    <x v="8"/>
    <d v="2025-01-12T00:00:00"/>
    <s v="F"/>
    <x v="2"/>
    <x v="2"/>
    <x v="0"/>
    <x v="3"/>
    <x v="2"/>
    <x v="1"/>
    <x v="2"/>
  </r>
  <r>
    <s v="TX500205"/>
    <x v="3"/>
    <x v="1"/>
    <n v="52.1"/>
    <n v="104.2"/>
    <x v="8"/>
    <d v="2025-01-13T00:00:00"/>
    <s v="F"/>
    <x v="2"/>
    <x v="0"/>
    <x v="0"/>
    <x v="3"/>
    <x v="5"/>
    <x v="1"/>
    <x v="2"/>
  </r>
  <r>
    <s v="TX500206"/>
    <x v="2"/>
    <x v="12"/>
    <n v="129.19999999999999"/>
    <n v="516.79999999999995"/>
    <x v="8"/>
    <d v="2025-01-10T00:00:00"/>
    <s v="F"/>
    <x v="1"/>
    <x v="0"/>
    <x v="0"/>
    <x v="3"/>
    <x v="3"/>
    <x v="1"/>
    <x v="2"/>
  </r>
  <r>
    <s v="TX500207"/>
    <x v="1"/>
    <x v="10"/>
    <n v="81.8"/>
    <n v="1554.2"/>
    <x v="8"/>
    <d v="2025-01-09T00:00:00"/>
    <s v="F"/>
    <x v="1"/>
    <x v="1"/>
    <x v="0"/>
    <x v="3"/>
    <x v="7"/>
    <x v="1"/>
    <x v="2"/>
  </r>
  <r>
    <s v="TX500208"/>
    <x v="17"/>
    <x v="0"/>
    <n v="24.9"/>
    <n v="24.9"/>
    <x v="8"/>
    <d v="2025-01-13T00:00:00"/>
    <s v="F"/>
    <x v="1"/>
    <x v="0"/>
    <x v="0"/>
    <x v="3"/>
    <x v="5"/>
    <x v="1"/>
    <x v="2"/>
  </r>
  <r>
    <s v="TX500209"/>
    <x v="0"/>
    <x v="2"/>
    <n v="49.4"/>
    <n v="148.19999999999999"/>
    <x v="8"/>
    <d v="2025-01-12T00:00:00"/>
    <s v="F"/>
    <x v="4"/>
    <x v="4"/>
    <x v="0"/>
    <x v="3"/>
    <x v="2"/>
    <x v="1"/>
    <x v="2"/>
  </r>
  <r>
    <s v="TX500210"/>
    <x v="8"/>
    <x v="1"/>
    <n v="22.7"/>
    <n v="45.4"/>
    <x v="8"/>
    <d v="2025-01-10T00:00:00"/>
    <s v="M"/>
    <x v="3"/>
    <x v="2"/>
    <x v="0"/>
    <x v="3"/>
    <x v="3"/>
    <x v="1"/>
    <x v="1"/>
  </r>
  <r>
    <s v="TX500211"/>
    <x v="1"/>
    <x v="0"/>
    <n v="77.3"/>
    <n v="77.3"/>
    <x v="8"/>
    <d v="2025-01-09T00:00:00"/>
    <s v="F"/>
    <x v="0"/>
    <x v="2"/>
    <x v="0"/>
    <x v="6"/>
    <x v="7"/>
    <x v="1"/>
    <x v="2"/>
  </r>
  <r>
    <s v="TX500212"/>
    <x v="1"/>
    <x v="9"/>
    <n v="109.1"/>
    <n v="545.5"/>
    <x v="8"/>
    <d v="2025-01-12T00:00:00"/>
    <s v="F"/>
    <x v="0"/>
    <x v="0"/>
    <x v="0"/>
    <x v="6"/>
    <x v="2"/>
    <x v="1"/>
    <x v="2"/>
  </r>
  <r>
    <s v="TX500213"/>
    <x v="2"/>
    <x v="12"/>
    <n v="53.9"/>
    <n v="215.6"/>
    <x v="8"/>
    <d v="2025-01-10T00:00:00"/>
    <s v="M"/>
    <x v="0"/>
    <x v="1"/>
    <x v="0"/>
    <x v="8"/>
    <x v="3"/>
    <x v="1"/>
    <x v="1"/>
  </r>
  <r>
    <s v="TX500214"/>
    <x v="9"/>
    <x v="18"/>
    <n v="21.2"/>
    <n v="551.19999999999993"/>
    <x v="8"/>
    <d v="2025-01-09T00:00:00"/>
    <s v="F"/>
    <x v="0"/>
    <x v="0"/>
    <x v="0"/>
    <x v="9"/>
    <x v="7"/>
    <x v="1"/>
    <x v="2"/>
  </r>
  <r>
    <s v="TX500215"/>
    <x v="16"/>
    <x v="12"/>
    <n v="69"/>
    <n v="276"/>
    <x v="8"/>
    <d v="2025-01-11T00:00:00"/>
    <s v="F"/>
    <x v="1"/>
    <x v="1"/>
    <x v="0"/>
    <x v="18"/>
    <x v="1"/>
    <x v="1"/>
    <x v="2"/>
  </r>
  <r>
    <s v="TX500216"/>
    <x v="6"/>
    <x v="2"/>
    <n v="46.2"/>
    <n v="138.60000000000002"/>
    <x v="8"/>
    <d v="2025-01-11T00:00:00"/>
    <s v="F"/>
    <x v="0"/>
    <x v="2"/>
    <x v="0"/>
    <x v="31"/>
    <x v="1"/>
    <x v="1"/>
    <x v="2"/>
  </r>
  <r>
    <s v="TX500217"/>
    <x v="1"/>
    <x v="9"/>
    <n v="97.4"/>
    <n v="487"/>
    <x v="8"/>
    <d v="2025-01-13T00:00:00"/>
    <s v="F"/>
    <x v="4"/>
    <x v="2"/>
    <x v="0"/>
    <x v="21"/>
    <x v="5"/>
    <x v="1"/>
    <x v="2"/>
  </r>
  <r>
    <s v="TX500218"/>
    <x v="8"/>
    <x v="9"/>
    <n v="21"/>
    <n v="105"/>
    <x v="8"/>
    <d v="2025-01-10T00:00:00"/>
    <s v="M"/>
    <x v="0"/>
    <x v="1"/>
    <x v="0"/>
    <x v="21"/>
    <x v="3"/>
    <x v="1"/>
    <x v="1"/>
  </r>
  <r>
    <s v="TX500219"/>
    <x v="5"/>
    <x v="1"/>
    <n v="32.700000000000003"/>
    <n v="65.400000000000006"/>
    <x v="9"/>
    <d v="2025-01-13T00:00:00"/>
    <s v="F"/>
    <x v="1"/>
    <x v="0"/>
    <x v="0"/>
    <x v="2"/>
    <x v="2"/>
    <x v="1"/>
    <x v="2"/>
  </r>
  <r>
    <s v="TX500220"/>
    <x v="6"/>
    <x v="12"/>
    <n v="48"/>
    <n v="192"/>
    <x v="9"/>
    <d v="2025-01-11T00:00:00"/>
    <s v="M"/>
    <x v="3"/>
    <x v="0"/>
    <x v="0"/>
    <x v="3"/>
    <x v="3"/>
    <x v="1"/>
    <x v="1"/>
  </r>
  <r>
    <s v="TX500221"/>
    <x v="6"/>
    <x v="2"/>
    <n v="68.2"/>
    <n v="204.60000000000002"/>
    <x v="9"/>
    <d v="2025-01-14T00:00:00"/>
    <s v=""/>
    <x v="0"/>
    <x v="2"/>
    <x v="0"/>
    <x v="3"/>
    <x v="5"/>
    <x v="1"/>
    <x v="0"/>
  </r>
  <r>
    <s v="TX500222"/>
    <x v="5"/>
    <x v="0"/>
    <n v="45.4"/>
    <n v="45.4"/>
    <x v="9"/>
    <d v="2025-01-12T00:00:00"/>
    <s v="M"/>
    <x v="1"/>
    <x v="0"/>
    <x v="0"/>
    <x v="3"/>
    <x v="1"/>
    <x v="1"/>
    <x v="1"/>
  </r>
  <r>
    <s v="TX500223"/>
    <x v="12"/>
    <x v="1"/>
    <n v="53.9"/>
    <n v="107.8"/>
    <x v="9"/>
    <d v="2025-01-11T00:00:00"/>
    <s v="F"/>
    <x v="2"/>
    <x v="0"/>
    <x v="0"/>
    <x v="3"/>
    <x v="3"/>
    <x v="1"/>
    <x v="2"/>
  </r>
  <r>
    <s v="TX500224"/>
    <x v="2"/>
    <x v="12"/>
    <n v="62.1"/>
    <n v="248.4"/>
    <x v="9"/>
    <d v="2025-01-14T00:00:00"/>
    <s v="F"/>
    <x v="0"/>
    <x v="0"/>
    <x v="0"/>
    <x v="4"/>
    <x v="5"/>
    <x v="1"/>
    <x v="2"/>
  </r>
  <r>
    <s v="TX500225"/>
    <x v="13"/>
    <x v="3"/>
    <n v="33.1"/>
    <n v="231.70000000000002"/>
    <x v="9"/>
    <d v="2025-01-15T00:00:00"/>
    <s v="M"/>
    <x v="1"/>
    <x v="0"/>
    <x v="0"/>
    <x v="6"/>
    <x v="0"/>
    <x v="1"/>
    <x v="1"/>
  </r>
  <r>
    <s v="TX500226"/>
    <x v="18"/>
    <x v="9"/>
    <n v="35.200000000000003"/>
    <n v="176"/>
    <x v="9"/>
    <d v="2025-01-10T00:00:00"/>
    <s v="F"/>
    <x v="1"/>
    <x v="0"/>
    <x v="0"/>
    <x v="6"/>
    <x v="7"/>
    <x v="1"/>
    <x v="2"/>
  </r>
  <r>
    <s v="TX500227"/>
    <x v="9"/>
    <x v="2"/>
    <n v="32.1"/>
    <n v="96.300000000000011"/>
    <x v="9"/>
    <d v="2025-01-15T00:00:00"/>
    <s v="M"/>
    <x v="3"/>
    <x v="0"/>
    <x v="0"/>
    <x v="8"/>
    <x v="0"/>
    <x v="1"/>
    <x v="1"/>
  </r>
  <r>
    <s v="TX500228"/>
    <x v="11"/>
    <x v="0"/>
    <n v="38.1"/>
    <n v="38.1"/>
    <x v="9"/>
    <d v="2025-01-15T00:00:00"/>
    <s v="F"/>
    <x v="0"/>
    <x v="2"/>
    <x v="0"/>
    <x v="8"/>
    <x v="0"/>
    <x v="1"/>
    <x v="2"/>
  </r>
  <r>
    <s v="TX500229"/>
    <x v="8"/>
    <x v="0"/>
    <n v="65.2"/>
    <n v="65.2"/>
    <x v="9"/>
    <d v="2025-01-15T00:00:00"/>
    <s v="F"/>
    <x v="3"/>
    <x v="1"/>
    <x v="0"/>
    <x v="8"/>
    <x v="0"/>
    <x v="1"/>
    <x v="2"/>
  </r>
  <r>
    <s v="TX500230"/>
    <x v="10"/>
    <x v="3"/>
    <n v="55.2"/>
    <n v="386.40000000000003"/>
    <x v="9"/>
    <d v="2025-01-11T00:00:00"/>
    <s v="M"/>
    <x v="2"/>
    <x v="0"/>
    <x v="0"/>
    <x v="11"/>
    <x v="3"/>
    <x v="1"/>
    <x v="1"/>
  </r>
  <r>
    <s v="TX500231"/>
    <x v="6"/>
    <x v="0"/>
    <n v="62"/>
    <n v="62"/>
    <x v="9"/>
    <d v="2025-01-14T00:00:00"/>
    <s v="F"/>
    <x v="0"/>
    <x v="0"/>
    <x v="0"/>
    <x v="11"/>
    <x v="5"/>
    <x v="1"/>
    <x v="2"/>
  </r>
  <r>
    <s v="TX500232"/>
    <x v="7"/>
    <x v="2"/>
    <n v="45.9"/>
    <n v="137.69999999999999"/>
    <x v="9"/>
    <d v="2025-01-11T00:00:00"/>
    <s v="F"/>
    <x v="2"/>
    <x v="0"/>
    <x v="0"/>
    <x v="32"/>
    <x v="3"/>
    <x v="1"/>
    <x v="2"/>
  </r>
  <r>
    <s v="TX500233"/>
    <x v="18"/>
    <x v="2"/>
    <n v="58.3"/>
    <n v="174.89999999999998"/>
    <x v="9"/>
    <d v="2025-01-10T00:00:00"/>
    <s v="M"/>
    <x v="1"/>
    <x v="1"/>
    <x v="0"/>
    <x v="18"/>
    <x v="7"/>
    <x v="1"/>
    <x v="1"/>
  </r>
  <r>
    <s v="TX500234"/>
    <x v="8"/>
    <x v="1"/>
    <n v="22.3"/>
    <n v="44.6"/>
    <x v="9"/>
    <d v="2025-01-13T00:00:00"/>
    <s v="F"/>
    <x v="0"/>
    <x v="2"/>
    <x v="0"/>
    <x v="20"/>
    <x v="2"/>
    <x v="1"/>
    <x v="2"/>
  </r>
  <r>
    <s v="TX500235"/>
    <x v="19"/>
    <x v="9"/>
    <n v="24"/>
    <n v="120"/>
    <x v="9"/>
    <d v="2025-01-11T00:00:00"/>
    <s v="M"/>
    <x v="4"/>
    <x v="0"/>
    <x v="0"/>
    <x v="1"/>
    <x v="3"/>
    <x v="1"/>
    <x v="1"/>
  </r>
  <r>
    <s v="TX500236"/>
    <x v="0"/>
    <x v="7"/>
    <n v="21.3"/>
    <n v="213"/>
    <x v="9"/>
    <d v="2025-01-10T00:00:00"/>
    <s v="F"/>
    <x v="1"/>
    <x v="2"/>
    <x v="0"/>
    <x v="22"/>
    <x v="7"/>
    <x v="1"/>
    <x v="2"/>
  </r>
  <r>
    <s v="TX500237"/>
    <x v="6"/>
    <x v="24"/>
    <n v="57.8"/>
    <n v="2369.7999999999997"/>
    <x v="9"/>
    <d v="2025-01-12T00:00:00"/>
    <s v="F"/>
    <x v="0"/>
    <x v="2"/>
    <x v="0"/>
    <x v="3"/>
    <x v="1"/>
    <x v="1"/>
    <x v="2"/>
  </r>
  <r>
    <s v="TX500238"/>
    <x v="10"/>
    <x v="2"/>
    <n v="67.599999999999994"/>
    <n v="202.79999999999998"/>
    <x v="9"/>
    <d v="2025-01-11T00:00:00"/>
    <s v="F"/>
    <x v="0"/>
    <x v="0"/>
    <x v="0"/>
    <x v="3"/>
    <x v="3"/>
    <x v="1"/>
    <x v="2"/>
  </r>
  <r>
    <s v="TX500239"/>
    <x v="6"/>
    <x v="13"/>
    <n v="66.7"/>
    <n v="400.20000000000005"/>
    <x v="9"/>
    <d v="2025-01-14T00:00:00"/>
    <s v="M"/>
    <x v="4"/>
    <x v="1"/>
    <x v="0"/>
    <x v="3"/>
    <x v="5"/>
    <x v="1"/>
    <x v="1"/>
  </r>
  <r>
    <s v="TX500240"/>
    <x v="1"/>
    <x v="12"/>
    <n v="53.1"/>
    <n v="212.4"/>
    <x v="9"/>
    <d v="2025-01-12T00:00:00"/>
    <s v="F"/>
    <x v="1"/>
    <x v="0"/>
    <x v="0"/>
    <x v="3"/>
    <x v="1"/>
    <x v="1"/>
    <x v="2"/>
  </r>
  <r>
    <s v="TX500241"/>
    <x v="12"/>
    <x v="2"/>
    <n v="57.4"/>
    <n v="172.2"/>
    <x v="9"/>
    <d v="2025-01-13T00:00:00"/>
    <s v="F"/>
    <x v="0"/>
    <x v="2"/>
    <x v="0"/>
    <x v="29"/>
    <x v="2"/>
    <x v="1"/>
    <x v="2"/>
  </r>
  <r>
    <s v="TX500242"/>
    <x v="2"/>
    <x v="9"/>
    <n v="58.1"/>
    <n v="290.5"/>
    <x v="9"/>
    <d v="2025-01-10T00:00:00"/>
    <s v="M"/>
    <x v="2"/>
    <x v="2"/>
    <x v="0"/>
    <x v="6"/>
    <x v="7"/>
    <x v="1"/>
    <x v="1"/>
  </r>
  <r>
    <s v="TX500243"/>
    <x v="5"/>
    <x v="2"/>
    <n v="31.8"/>
    <n v="95.4"/>
    <x v="10"/>
    <d v="2025-01-13T00:00:00"/>
    <s v="M"/>
    <x v="3"/>
    <x v="0"/>
    <x v="0"/>
    <x v="6"/>
    <x v="1"/>
    <x v="1"/>
    <x v="1"/>
  </r>
  <r>
    <s v="TX500244"/>
    <x v="4"/>
    <x v="2"/>
    <n v="31.5"/>
    <n v="94.5"/>
    <x v="10"/>
    <d v="2025-01-14T00:00:00"/>
    <s v="M"/>
    <x v="0"/>
    <x v="1"/>
    <x v="0"/>
    <x v="8"/>
    <x v="2"/>
    <x v="1"/>
    <x v="1"/>
  </r>
  <r>
    <s v="TX500245"/>
    <x v="6"/>
    <x v="3"/>
    <n v="55.9"/>
    <n v="391.3"/>
    <x v="10"/>
    <d v="2025-01-15T00:00:00"/>
    <s v="F"/>
    <x v="1"/>
    <x v="2"/>
    <x v="0"/>
    <x v="8"/>
    <x v="5"/>
    <x v="1"/>
    <x v="2"/>
  </r>
  <r>
    <s v="TX500246"/>
    <x v="8"/>
    <x v="1"/>
    <n v="36.4"/>
    <n v="72.8"/>
    <x v="10"/>
    <d v="2025-01-12T00:00:00"/>
    <s v="M"/>
    <x v="1"/>
    <x v="1"/>
    <x v="0"/>
    <x v="9"/>
    <x v="3"/>
    <x v="1"/>
    <x v="1"/>
  </r>
  <r>
    <s v="TX500247"/>
    <x v="1"/>
    <x v="9"/>
    <n v="47.3"/>
    <n v="236.5"/>
    <x v="10"/>
    <d v="2025-01-14T00:00:00"/>
    <s v="M"/>
    <x v="2"/>
    <x v="0"/>
    <x v="0"/>
    <x v="10"/>
    <x v="2"/>
    <x v="1"/>
    <x v="1"/>
  </r>
  <r>
    <s v="TX500248"/>
    <x v="6"/>
    <x v="2"/>
    <n v="82.5"/>
    <n v="247.5"/>
    <x v="10"/>
    <d v="2025-01-12T00:00:00"/>
    <s v="M"/>
    <x v="0"/>
    <x v="0"/>
    <x v="0"/>
    <x v="11"/>
    <x v="3"/>
    <x v="1"/>
    <x v="1"/>
  </r>
  <r>
    <s v="TX500249"/>
    <x v="0"/>
    <x v="0"/>
    <n v="14.3"/>
    <n v="14.3"/>
    <x v="10"/>
    <d v="2025-01-12T00:00:00"/>
    <s v="F"/>
    <x v="0"/>
    <x v="0"/>
    <x v="0"/>
    <x v="21"/>
    <x v="3"/>
    <x v="1"/>
    <x v="2"/>
  </r>
  <r>
    <s v="TX500250"/>
    <x v="2"/>
    <x v="13"/>
    <n v="57.6"/>
    <n v="345.6"/>
    <x v="10"/>
    <d v="2025-01-25T00:00:00"/>
    <s v="F"/>
    <x v="0"/>
    <x v="0"/>
    <x v="0"/>
    <x v="21"/>
    <x v="12"/>
    <x v="1"/>
    <x v="2"/>
  </r>
  <r>
    <s v="TX500251"/>
    <x v="2"/>
    <x v="2"/>
    <n v="142.4"/>
    <n v="427.20000000000005"/>
    <x v="10"/>
    <d v="2025-01-13T00:00:00"/>
    <s v="M"/>
    <x v="4"/>
    <x v="1"/>
    <x v="0"/>
    <x v="21"/>
    <x v="1"/>
    <x v="1"/>
    <x v="1"/>
  </r>
  <r>
    <s v="TX500252"/>
    <x v="12"/>
    <x v="0"/>
    <n v="30.2"/>
    <n v="30.2"/>
    <x v="10"/>
    <d v="2025-01-15T00:00:00"/>
    <s v="M"/>
    <x v="1"/>
    <x v="2"/>
    <x v="0"/>
    <x v="2"/>
    <x v="5"/>
    <x v="1"/>
    <x v="1"/>
  </r>
  <r>
    <s v="TX500253"/>
    <x v="18"/>
    <x v="2"/>
    <n v="65.3"/>
    <n v="195.89999999999998"/>
    <x v="10"/>
    <d v="2025-01-12T00:00:00"/>
    <s v="O"/>
    <x v="1"/>
    <x v="0"/>
    <x v="0"/>
    <x v="33"/>
    <x v="3"/>
    <x v="1"/>
    <x v="3"/>
  </r>
  <r>
    <s v="TX500254"/>
    <x v="0"/>
    <x v="1"/>
    <n v="33.4"/>
    <n v="66.8"/>
    <x v="10"/>
    <d v="2025-01-12T00:00:00"/>
    <s v="M"/>
    <x v="1"/>
    <x v="1"/>
    <x v="0"/>
    <x v="22"/>
    <x v="3"/>
    <x v="1"/>
    <x v="1"/>
  </r>
  <r>
    <s v="TX500255"/>
    <x v="7"/>
    <x v="1"/>
    <n v="45.1"/>
    <n v="90.2"/>
    <x v="10"/>
    <d v="2025-01-19T00:00:00"/>
    <s v="M"/>
    <x v="0"/>
    <x v="0"/>
    <x v="0"/>
    <x v="34"/>
    <x v="9"/>
    <x v="1"/>
    <x v="1"/>
  </r>
  <r>
    <s v="TX500256"/>
    <x v="2"/>
    <x v="3"/>
    <n v="61.7"/>
    <n v="431.90000000000003"/>
    <x v="10"/>
    <d v="2025-01-13T00:00:00"/>
    <s v="F"/>
    <x v="4"/>
    <x v="0"/>
    <x v="0"/>
    <x v="3"/>
    <x v="1"/>
    <x v="1"/>
    <x v="2"/>
  </r>
  <r>
    <s v="TX500257"/>
    <x v="9"/>
    <x v="2"/>
    <n v="45.1"/>
    <n v="135.30000000000001"/>
    <x v="11"/>
    <d v="2025-01-13T00:00:00"/>
    <s v="M"/>
    <x v="4"/>
    <x v="1"/>
    <x v="0"/>
    <x v="3"/>
    <x v="3"/>
    <x v="2"/>
    <x v="1"/>
  </r>
  <r>
    <s v="TX500258"/>
    <x v="15"/>
    <x v="9"/>
    <n v="22.7"/>
    <n v="113.5"/>
    <x v="11"/>
    <d v="2025-01-17T00:00:00"/>
    <s v="M"/>
    <x v="0"/>
    <x v="2"/>
    <x v="0"/>
    <x v="35"/>
    <x v="0"/>
    <x v="2"/>
    <x v="1"/>
  </r>
  <r>
    <s v="TX500259"/>
    <x v="8"/>
    <x v="0"/>
    <n v="17.600000000000001"/>
    <n v="17.600000000000001"/>
    <x v="11"/>
    <d v="2025-01-13T00:00:00"/>
    <s v="F"/>
    <x v="0"/>
    <x v="2"/>
    <x v="0"/>
    <x v="23"/>
    <x v="3"/>
    <x v="2"/>
    <x v="2"/>
  </r>
  <r>
    <s v="TX500260"/>
    <x v="14"/>
    <x v="1"/>
    <n v="11.3"/>
    <n v="22.6"/>
    <x v="11"/>
    <d v="2025-01-15T00:00:00"/>
    <s v="F"/>
    <x v="3"/>
    <x v="2"/>
    <x v="0"/>
    <x v="23"/>
    <x v="2"/>
    <x v="2"/>
    <x v="2"/>
  </r>
  <r>
    <s v="TX500261"/>
    <x v="6"/>
    <x v="2"/>
    <n v="53.4"/>
    <n v="160.19999999999999"/>
    <x v="11"/>
    <d v="2025-01-15T00:00:00"/>
    <s v="M"/>
    <x v="3"/>
    <x v="2"/>
    <x v="0"/>
    <x v="36"/>
    <x v="2"/>
    <x v="2"/>
    <x v="1"/>
  </r>
  <r>
    <s v="TX500262"/>
    <x v="6"/>
    <x v="5"/>
    <n v="51.1"/>
    <n v="562.1"/>
    <x v="11"/>
    <d v="2025-01-14T00:00:00"/>
    <s v="F"/>
    <x v="2"/>
    <x v="2"/>
    <x v="0"/>
    <x v="8"/>
    <x v="1"/>
    <x v="2"/>
    <x v="2"/>
  </r>
  <r>
    <s v="TX500263"/>
    <x v="8"/>
    <x v="1"/>
    <n v="27.5"/>
    <n v="55"/>
    <x v="11"/>
    <d v="2025-01-13T00:00:00"/>
    <s v="M"/>
    <x v="4"/>
    <x v="1"/>
    <x v="0"/>
    <x v="8"/>
    <x v="3"/>
    <x v="2"/>
    <x v="1"/>
  </r>
  <r>
    <s v="TX500264"/>
    <x v="9"/>
    <x v="0"/>
    <n v="33.5"/>
    <n v="33.5"/>
    <x v="11"/>
    <d v="2025-01-14T00:00:00"/>
    <s v="F"/>
    <x v="0"/>
    <x v="4"/>
    <x v="0"/>
    <x v="8"/>
    <x v="1"/>
    <x v="2"/>
    <x v="2"/>
  </r>
  <r>
    <s v="TX500265"/>
    <x v="4"/>
    <x v="0"/>
    <n v="59.5"/>
    <n v="59.5"/>
    <x v="11"/>
    <d v="2025-01-12T00:00:00"/>
    <s v="M"/>
    <x v="0"/>
    <x v="2"/>
    <x v="0"/>
    <x v="18"/>
    <x v="7"/>
    <x v="2"/>
    <x v="1"/>
  </r>
  <r>
    <s v="TX500266"/>
    <x v="17"/>
    <x v="12"/>
    <n v="23.5"/>
    <n v="94"/>
    <x v="11"/>
    <d v="2025-01-13T00:00:00"/>
    <s v="F"/>
    <x v="3"/>
    <x v="3"/>
    <x v="0"/>
    <x v="19"/>
    <x v="3"/>
    <x v="2"/>
    <x v="2"/>
  </r>
  <r>
    <s v="TX500267"/>
    <x v="6"/>
    <x v="0"/>
    <n v="49.7"/>
    <n v="49.7"/>
    <x v="11"/>
    <d v="2025-01-13T00:00:00"/>
    <s v=""/>
    <x v="1"/>
    <x v="2"/>
    <x v="0"/>
    <x v="20"/>
    <x v="3"/>
    <x v="2"/>
    <x v="0"/>
  </r>
  <r>
    <s v="TX500268"/>
    <x v="6"/>
    <x v="12"/>
    <n v="44.2"/>
    <n v="176.8"/>
    <x v="11"/>
    <d v="2025-01-15T00:00:00"/>
    <s v="F"/>
    <x v="0"/>
    <x v="2"/>
    <x v="0"/>
    <x v="21"/>
    <x v="2"/>
    <x v="2"/>
    <x v="2"/>
  </r>
  <r>
    <s v="TX500269"/>
    <x v="8"/>
    <x v="0"/>
    <n v="22.1"/>
    <n v="22.1"/>
    <x v="11"/>
    <d v="2025-01-16T00:00:00"/>
    <s v="F"/>
    <x v="1"/>
    <x v="1"/>
    <x v="0"/>
    <x v="33"/>
    <x v="5"/>
    <x v="2"/>
    <x v="2"/>
  </r>
  <r>
    <s v="TX500270"/>
    <x v="6"/>
    <x v="2"/>
    <n v="90.9"/>
    <n v="272.70000000000005"/>
    <x v="11"/>
    <d v="2025-01-13T00:00:00"/>
    <s v="F"/>
    <x v="2"/>
    <x v="4"/>
    <x v="0"/>
    <x v="3"/>
    <x v="3"/>
    <x v="2"/>
    <x v="2"/>
  </r>
  <r>
    <s v="TX500271"/>
    <x v="8"/>
    <x v="2"/>
    <n v="44.5"/>
    <n v="133.5"/>
    <x v="11"/>
    <d v="2025-01-13T00:00:00"/>
    <s v="F"/>
    <x v="1"/>
    <x v="0"/>
    <x v="0"/>
    <x v="3"/>
    <x v="3"/>
    <x v="2"/>
    <x v="2"/>
  </r>
  <r>
    <s v="TX500272"/>
    <x v="9"/>
    <x v="13"/>
    <n v="32.299999999999997"/>
    <n v="193.79999999999998"/>
    <x v="11"/>
    <d v="2025-01-16T00:00:00"/>
    <s v="F"/>
    <x v="0"/>
    <x v="0"/>
    <x v="0"/>
    <x v="3"/>
    <x v="5"/>
    <x v="2"/>
    <x v="2"/>
  </r>
  <r>
    <s v="TX500273"/>
    <x v="17"/>
    <x v="2"/>
    <n v="87.5"/>
    <n v="262.5"/>
    <x v="11"/>
    <d v="2025-01-13T00:00:00"/>
    <s v="F"/>
    <x v="1"/>
    <x v="1"/>
    <x v="0"/>
    <x v="3"/>
    <x v="3"/>
    <x v="2"/>
    <x v="2"/>
  </r>
  <r>
    <s v="TX500274"/>
    <x v="16"/>
    <x v="9"/>
    <n v="48.7"/>
    <n v="243.5"/>
    <x v="11"/>
    <d v="2025-01-13T00:00:00"/>
    <s v="M"/>
    <x v="2"/>
    <x v="0"/>
    <x v="0"/>
    <x v="3"/>
    <x v="3"/>
    <x v="2"/>
    <x v="1"/>
  </r>
  <r>
    <s v="TX500275"/>
    <x v="0"/>
    <x v="9"/>
    <n v="22.5"/>
    <n v="112.5"/>
    <x v="11"/>
    <d v="2025-01-13T00:00:00"/>
    <s v="M"/>
    <x v="0"/>
    <x v="0"/>
    <x v="0"/>
    <x v="3"/>
    <x v="3"/>
    <x v="2"/>
    <x v="1"/>
  </r>
  <r>
    <s v="TX500276"/>
    <x v="1"/>
    <x v="8"/>
    <n v="65.900000000000006"/>
    <n v="527.20000000000005"/>
    <x v="11"/>
    <d v="2025-01-15T00:00:00"/>
    <s v="F"/>
    <x v="1"/>
    <x v="2"/>
    <x v="0"/>
    <x v="3"/>
    <x v="2"/>
    <x v="2"/>
    <x v="2"/>
  </r>
  <r>
    <s v="TX500277"/>
    <x v="6"/>
    <x v="9"/>
    <n v="41.9"/>
    <n v="209.5"/>
    <x v="11"/>
    <d v="2025-01-19T00:00:00"/>
    <s v=""/>
    <x v="0"/>
    <x v="0"/>
    <x v="0"/>
    <x v="3"/>
    <x v="6"/>
    <x v="2"/>
    <x v="0"/>
  </r>
  <r>
    <s v="TX500278"/>
    <x v="1"/>
    <x v="9"/>
    <n v="67.5"/>
    <n v="337.5"/>
    <x v="11"/>
    <d v="2025-01-13T00:00:00"/>
    <s v="F"/>
    <x v="0"/>
    <x v="2"/>
    <x v="0"/>
    <x v="3"/>
    <x v="3"/>
    <x v="2"/>
    <x v="2"/>
  </r>
  <r>
    <s v="TX500279"/>
    <x v="9"/>
    <x v="0"/>
    <n v="60.4"/>
    <n v="60.4"/>
    <x v="12"/>
    <d v="2025-01-15T00:00:00"/>
    <s v="F"/>
    <x v="1"/>
    <x v="1"/>
    <x v="0"/>
    <x v="3"/>
    <x v="1"/>
    <x v="2"/>
    <x v="2"/>
  </r>
  <r>
    <s v="TX500280"/>
    <x v="1"/>
    <x v="3"/>
    <n v="30.4"/>
    <n v="212.79999999999998"/>
    <x v="12"/>
    <d v="2025-01-16T00:00:00"/>
    <s v="F"/>
    <x v="4"/>
    <x v="0"/>
    <x v="0"/>
    <x v="3"/>
    <x v="2"/>
    <x v="2"/>
    <x v="2"/>
  </r>
  <r>
    <s v="TX500281"/>
    <x v="14"/>
    <x v="1"/>
    <n v="24.5"/>
    <n v="49"/>
    <x v="12"/>
    <d v="2025-01-14T00:00:00"/>
    <s v="M"/>
    <x v="3"/>
    <x v="2"/>
    <x v="0"/>
    <x v="3"/>
    <x v="3"/>
    <x v="2"/>
    <x v="1"/>
  </r>
  <r>
    <s v="TX500282"/>
    <x v="2"/>
    <x v="2"/>
    <n v="105.9"/>
    <n v="317.70000000000005"/>
    <x v="12"/>
    <d v="2025-01-18T00:00:00"/>
    <s v="M"/>
    <x v="0"/>
    <x v="0"/>
    <x v="0"/>
    <x v="37"/>
    <x v="0"/>
    <x v="2"/>
    <x v="1"/>
  </r>
  <r>
    <s v="TX500283"/>
    <x v="10"/>
    <x v="25"/>
    <n v="25.9"/>
    <n v="621.59999999999991"/>
    <x v="12"/>
    <d v="2025-01-14T00:00:00"/>
    <s v="F"/>
    <x v="4"/>
    <x v="0"/>
    <x v="0"/>
    <x v="23"/>
    <x v="3"/>
    <x v="2"/>
    <x v="2"/>
  </r>
  <r>
    <s v="TX500284"/>
    <x v="6"/>
    <x v="2"/>
    <n v="66.8"/>
    <n v="200.39999999999998"/>
    <x v="12"/>
    <d v="2025-01-13T00:00:00"/>
    <s v="M"/>
    <x v="0"/>
    <x v="0"/>
    <x v="0"/>
    <x v="23"/>
    <x v="7"/>
    <x v="2"/>
    <x v="1"/>
  </r>
  <r>
    <s v="TX500285"/>
    <x v="6"/>
    <x v="2"/>
    <n v="112.3"/>
    <n v="336.9"/>
    <x v="12"/>
    <d v="2025-01-14T00:00:00"/>
    <s v="M"/>
    <x v="2"/>
    <x v="4"/>
    <x v="0"/>
    <x v="6"/>
    <x v="3"/>
    <x v="2"/>
    <x v="1"/>
  </r>
  <r>
    <s v="TX500286"/>
    <x v="1"/>
    <x v="13"/>
    <n v="94.1"/>
    <n v="564.59999999999991"/>
    <x v="12"/>
    <d v="2025-01-14T00:00:00"/>
    <s v="F"/>
    <x v="0"/>
    <x v="4"/>
    <x v="0"/>
    <x v="6"/>
    <x v="3"/>
    <x v="2"/>
    <x v="2"/>
  </r>
  <r>
    <s v="TX500287"/>
    <x v="5"/>
    <x v="0"/>
    <n v="40.700000000000003"/>
    <n v="40.700000000000003"/>
    <x v="12"/>
    <d v="2025-01-16T00:00:00"/>
    <s v="F"/>
    <x v="2"/>
    <x v="0"/>
    <x v="0"/>
    <x v="6"/>
    <x v="2"/>
    <x v="2"/>
    <x v="2"/>
  </r>
  <r>
    <s v="TX500288"/>
    <x v="3"/>
    <x v="1"/>
    <n v="71.400000000000006"/>
    <n v="142.80000000000001"/>
    <x v="12"/>
    <d v="2025-01-14T00:00:00"/>
    <s v="M"/>
    <x v="0"/>
    <x v="0"/>
    <x v="0"/>
    <x v="7"/>
    <x v="3"/>
    <x v="2"/>
    <x v="1"/>
  </r>
  <r>
    <s v="TX500289"/>
    <x v="0"/>
    <x v="16"/>
    <n v="15.6"/>
    <n v="280.8"/>
    <x v="12"/>
    <d v="2025-01-14T00:00:00"/>
    <s v="M"/>
    <x v="1"/>
    <x v="3"/>
    <x v="0"/>
    <x v="8"/>
    <x v="3"/>
    <x v="2"/>
    <x v="1"/>
  </r>
  <r>
    <s v="TX500290"/>
    <x v="10"/>
    <x v="12"/>
    <n v="37.799999999999997"/>
    <n v="151.19999999999999"/>
    <x v="12"/>
    <d v="2025-01-14T00:00:00"/>
    <s v="M"/>
    <x v="2"/>
    <x v="2"/>
    <x v="0"/>
    <x v="8"/>
    <x v="3"/>
    <x v="2"/>
    <x v="1"/>
  </r>
  <r>
    <s v="TX500291"/>
    <x v="4"/>
    <x v="2"/>
    <n v="28.1"/>
    <n v="84.300000000000011"/>
    <x v="12"/>
    <d v="2025-01-17T00:00:00"/>
    <s v="M"/>
    <x v="0"/>
    <x v="0"/>
    <x v="0"/>
    <x v="8"/>
    <x v="5"/>
    <x v="2"/>
    <x v="1"/>
  </r>
  <r>
    <s v="TX500292"/>
    <x v="7"/>
    <x v="13"/>
    <n v="51.4"/>
    <n v="308.39999999999998"/>
    <x v="12"/>
    <d v="2025-01-17T00:00:00"/>
    <s v="M"/>
    <x v="0"/>
    <x v="0"/>
    <x v="0"/>
    <x v="8"/>
    <x v="5"/>
    <x v="2"/>
    <x v="1"/>
  </r>
  <r>
    <s v="TX500293"/>
    <x v="7"/>
    <x v="1"/>
    <n v="97.7"/>
    <n v="195.4"/>
    <x v="12"/>
    <d v="2025-01-15T00:00:00"/>
    <s v="F"/>
    <x v="4"/>
    <x v="2"/>
    <x v="0"/>
    <x v="17"/>
    <x v="1"/>
    <x v="2"/>
    <x v="2"/>
  </r>
  <r>
    <s v="TX500294"/>
    <x v="1"/>
    <x v="12"/>
    <n v="63.8"/>
    <n v="255.2"/>
    <x v="12"/>
    <d v="2025-01-14T00:00:00"/>
    <s v="M"/>
    <x v="2"/>
    <x v="0"/>
    <x v="0"/>
    <x v="38"/>
    <x v="3"/>
    <x v="2"/>
    <x v="1"/>
  </r>
  <r>
    <s v="TX500295"/>
    <x v="13"/>
    <x v="1"/>
    <n v="20.100000000000001"/>
    <n v="40.200000000000003"/>
    <x v="12"/>
    <d v="2025-01-15T00:00:00"/>
    <s v="M"/>
    <x v="0"/>
    <x v="2"/>
    <x v="0"/>
    <x v="20"/>
    <x v="1"/>
    <x v="2"/>
    <x v="1"/>
  </r>
  <r>
    <s v="TX500296"/>
    <x v="11"/>
    <x v="2"/>
    <n v="50.4"/>
    <n v="151.19999999999999"/>
    <x v="12"/>
    <d v="2025-01-16T00:00:00"/>
    <s v="F"/>
    <x v="3"/>
    <x v="0"/>
    <x v="0"/>
    <x v="13"/>
    <x v="2"/>
    <x v="2"/>
    <x v="2"/>
  </r>
  <r>
    <s v="TX500297"/>
    <x v="0"/>
    <x v="0"/>
    <n v="16.2"/>
    <n v="16.2"/>
    <x v="12"/>
    <d v="2025-01-26T00:00:00"/>
    <s v="F"/>
    <x v="1"/>
    <x v="0"/>
    <x v="0"/>
    <x v="1"/>
    <x v="10"/>
    <x v="2"/>
    <x v="2"/>
  </r>
  <r>
    <s v="TX500298"/>
    <x v="6"/>
    <x v="3"/>
    <n v="80.900000000000006"/>
    <n v="566.30000000000007"/>
    <x v="12"/>
    <d v="2025-01-15T00:00:00"/>
    <s v="M"/>
    <x v="4"/>
    <x v="4"/>
    <x v="0"/>
    <x v="2"/>
    <x v="1"/>
    <x v="2"/>
    <x v="1"/>
  </r>
  <r>
    <s v="TX500299"/>
    <x v="9"/>
    <x v="13"/>
    <n v="95.2"/>
    <n v="571.20000000000005"/>
    <x v="12"/>
    <d v="2025-01-15T00:00:00"/>
    <s v="F"/>
    <x v="0"/>
    <x v="2"/>
    <x v="0"/>
    <x v="2"/>
    <x v="1"/>
    <x v="2"/>
    <x v="2"/>
  </r>
  <r>
    <s v="TX500300"/>
    <x v="5"/>
    <x v="8"/>
    <n v="70.400000000000006"/>
    <n v="563.20000000000005"/>
    <x v="12"/>
    <d v="2025-01-14T00:00:00"/>
    <s v="M"/>
    <x v="1"/>
    <x v="1"/>
    <x v="0"/>
    <x v="3"/>
    <x v="3"/>
    <x v="2"/>
    <x v="1"/>
  </r>
  <r>
    <s v="TX500301"/>
    <x v="0"/>
    <x v="9"/>
    <n v="10.7"/>
    <n v="53.5"/>
    <x v="12"/>
    <d v="2025-01-17T00:00:00"/>
    <s v="F"/>
    <x v="2"/>
    <x v="0"/>
    <x v="0"/>
    <x v="3"/>
    <x v="5"/>
    <x v="2"/>
    <x v="2"/>
  </r>
  <r>
    <s v="TX500302"/>
    <x v="8"/>
    <x v="9"/>
    <n v="19.600000000000001"/>
    <n v="98"/>
    <x v="12"/>
    <d v="2025-01-15T00:00:00"/>
    <s v="F"/>
    <x v="0"/>
    <x v="3"/>
    <x v="0"/>
    <x v="3"/>
    <x v="1"/>
    <x v="2"/>
    <x v="2"/>
  </r>
  <r>
    <s v="TX500303"/>
    <x v="8"/>
    <x v="5"/>
    <n v="34.700000000000003"/>
    <n v="381.70000000000005"/>
    <x v="12"/>
    <d v="2025-01-15T00:00:00"/>
    <s v="F"/>
    <x v="0"/>
    <x v="2"/>
    <x v="0"/>
    <x v="3"/>
    <x v="1"/>
    <x v="2"/>
    <x v="2"/>
  </r>
  <r>
    <s v="TX500304"/>
    <x v="10"/>
    <x v="11"/>
    <n v="34.1"/>
    <n v="306.90000000000003"/>
    <x v="12"/>
    <d v="2025-01-14T00:00:00"/>
    <s v="F"/>
    <x v="4"/>
    <x v="1"/>
    <x v="0"/>
    <x v="3"/>
    <x v="3"/>
    <x v="2"/>
    <x v="2"/>
  </r>
  <r>
    <s v="TX500305"/>
    <x v="0"/>
    <x v="26"/>
    <n v="29.3"/>
    <n v="1435.7"/>
    <x v="12"/>
    <d v="2025-01-13T00:00:00"/>
    <s v="M"/>
    <x v="0"/>
    <x v="1"/>
    <x v="0"/>
    <x v="3"/>
    <x v="7"/>
    <x v="2"/>
    <x v="1"/>
  </r>
  <r>
    <s v="TX500306"/>
    <x v="1"/>
    <x v="0"/>
    <n v="55.2"/>
    <n v="55.2"/>
    <x v="12"/>
    <d v="2025-01-14T00:00:00"/>
    <s v="F"/>
    <x v="0"/>
    <x v="1"/>
    <x v="0"/>
    <x v="3"/>
    <x v="3"/>
    <x v="2"/>
    <x v="2"/>
  </r>
  <r>
    <s v="TX500307"/>
    <x v="18"/>
    <x v="2"/>
    <n v="26"/>
    <n v="78"/>
    <x v="12"/>
    <d v="2025-01-16T00:00:00"/>
    <s v="F"/>
    <x v="0"/>
    <x v="2"/>
    <x v="0"/>
    <x v="3"/>
    <x v="2"/>
    <x v="2"/>
    <x v="2"/>
  </r>
  <r>
    <s v="TX500308"/>
    <x v="14"/>
    <x v="1"/>
    <n v="14.2"/>
    <n v="28.4"/>
    <x v="12"/>
    <d v="2025-01-18T00:00:00"/>
    <s v="F"/>
    <x v="3"/>
    <x v="0"/>
    <x v="0"/>
    <x v="39"/>
    <x v="0"/>
    <x v="2"/>
    <x v="2"/>
  </r>
  <r>
    <s v="TX500309"/>
    <x v="8"/>
    <x v="11"/>
    <n v="22.7"/>
    <n v="204.29999999999998"/>
    <x v="13"/>
    <d v="2025-01-15T00:00:00"/>
    <s v="M"/>
    <x v="1"/>
    <x v="0"/>
    <x v="0"/>
    <x v="6"/>
    <x v="3"/>
    <x v="2"/>
    <x v="1"/>
  </r>
  <r>
    <s v="TX500310"/>
    <x v="0"/>
    <x v="20"/>
    <n v="19.8"/>
    <n v="297"/>
    <x v="13"/>
    <d v="2025-01-14T00:00:00"/>
    <s v="F"/>
    <x v="0"/>
    <x v="2"/>
    <x v="0"/>
    <x v="6"/>
    <x v="7"/>
    <x v="2"/>
    <x v="2"/>
  </r>
  <r>
    <s v="TX500311"/>
    <x v="0"/>
    <x v="2"/>
    <n v="31.7"/>
    <n v="95.1"/>
    <x v="13"/>
    <d v="2025-01-15T00:00:00"/>
    <s v="M"/>
    <x v="2"/>
    <x v="0"/>
    <x v="0"/>
    <x v="6"/>
    <x v="3"/>
    <x v="2"/>
    <x v="1"/>
  </r>
  <r>
    <s v="TX500312"/>
    <x v="8"/>
    <x v="12"/>
    <n v="30.4"/>
    <n v="121.6"/>
    <x v="13"/>
    <d v="2025-01-18T00:00:00"/>
    <s v="M"/>
    <x v="0"/>
    <x v="0"/>
    <x v="0"/>
    <x v="6"/>
    <x v="5"/>
    <x v="2"/>
    <x v="1"/>
  </r>
  <r>
    <s v="TX500313"/>
    <x v="0"/>
    <x v="12"/>
    <n v="25.6"/>
    <n v="102.4"/>
    <x v="13"/>
    <d v="2025-01-15T00:00:00"/>
    <s v="M"/>
    <x v="3"/>
    <x v="0"/>
    <x v="0"/>
    <x v="8"/>
    <x v="3"/>
    <x v="2"/>
    <x v="1"/>
  </r>
  <r>
    <s v="TX500314"/>
    <x v="5"/>
    <x v="1"/>
    <n v="34.9"/>
    <n v="69.8"/>
    <x v="13"/>
    <d v="2025-01-15T00:00:00"/>
    <s v="F"/>
    <x v="2"/>
    <x v="0"/>
    <x v="0"/>
    <x v="9"/>
    <x v="3"/>
    <x v="2"/>
    <x v="2"/>
  </r>
  <r>
    <s v="TX500315"/>
    <x v="7"/>
    <x v="13"/>
    <n v="42.7"/>
    <n v="256.20000000000005"/>
    <x v="13"/>
    <d v="2025-01-17T00:00:00"/>
    <s v="M"/>
    <x v="2"/>
    <x v="1"/>
    <x v="0"/>
    <x v="11"/>
    <x v="2"/>
    <x v="2"/>
    <x v="1"/>
  </r>
  <r>
    <s v="TX500316"/>
    <x v="8"/>
    <x v="0"/>
    <n v="23.9"/>
    <n v="23.9"/>
    <x v="13"/>
    <d v="2025-01-16T00:00:00"/>
    <s v="F"/>
    <x v="3"/>
    <x v="0"/>
    <x v="0"/>
    <x v="11"/>
    <x v="1"/>
    <x v="2"/>
    <x v="2"/>
  </r>
  <r>
    <s v="TX500317"/>
    <x v="6"/>
    <x v="0"/>
    <n v="124.3"/>
    <n v="124.3"/>
    <x v="13"/>
    <d v="2025-01-15T00:00:00"/>
    <s v=""/>
    <x v="2"/>
    <x v="1"/>
    <x v="0"/>
    <x v="21"/>
    <x v="3"/>
    <x v="2"/>
    <x v="0"/>
  </r>
  <r>
    <s v="TX500318"/>
    <x v="8"/>
    <x v="13"/>
    <n v="35.9"/>
    <n v="215.39999999999998"/>
    <x v="13"/>
    <d v="2025-01-15T00:00:00"/>
    <s v="F"/>
    <x v="0"/>
    <x v="1"/>
    <x v="0"/>
    <x v="1"/>
    <x v="3"/>
    <x v="2"/>
    <x v="2"/>
  </r>
  <r>
    <s v="TX500319"/>
    <x v="2"/>
    <x v="1"/>
    <n v="69.099999999999994"/>
    <n v="138.19999999999999"/>
    <x v="13"/>
    <d v="2025-01-17T00:00:00"/>
    <s v="F"/>
    <x v="0"/>
    <x v="2"/>
    <x v="0"/>
    <x v="22"/>
    <x v="2"/>
    <x v="2"/>
    <x v="2"/>
  </r>
  <r>
    <s v="TX500320"/>
    <x v="7"/>
    <x v="0"/>
    <n v="58.4"/>
    <n v="58.4"/>
    <x v="13"/>
    <d v="2025-01-18T00:00:00"/>
    <s v="M"/>
    <x v="0"/>
    <x v="0"/>
    <x v="0"/>
    <x v="22"/>
    <x v="5"/>
    <x v="2"/>
    <x v="1"/>
  </r>
  <r>
    <s v="TX500321"/>
    <x v="5"/>
    <x v="0"/>
    <n v="65.2"/>
    <n v="65.2"/>
    <x v="13"/>
    <d v="2025-01-16T00:00:00"/>
    <s v="O"/>
    <x v="4"/>
    <x v="4"/>
    <x v="0"/>
    <x v="3"/>
    <x v="1"/>
    <x v="2"/>
    <x v="3"/>
  </r>
  <r>
    <s v="TX500322"/>
    <x v="8"/>
    <x v="14"/>
    <n v="32.700000000000003"/>
    <n v="555.90000000000009"/>
    <x v="13"/>
    <d v="2025-01-21T00:00:00"/>
    <s v=""/>
    <x v="4"/>
    <x v="0"/>
    <x v="0"/>
    <x v="3"/>
    <x v="6"/>
    <x v="2"/>
    <x v="0"/>
  </r>
  <r>
    <s v="TX500323"/>
    <x v="10"/>
    <x v="3"/>
    <n v="24.4"/>
    <n v="170.79999999999998"/>
    <x v="13"/>
    <d v="2025-01-15T00:00:00"/>
    <s v="F"/>
    <x v="0"/>
    <x v="0"/>
    <x v="0"/>
    <x v="3"/>
    <x v="3"/>
    <x v="2"/>
    <x v="2"/>
  </r>
  <r>
    <s v="TX500324"/>
    <x v="14"/>
    <x v="1"/>
    <n v="50.4"/>
    <n v="100.8"/>
    <x v="13"/>
    <d v="2025-01-20T00:00:00"/>
    <s v="M"/>
    <x v="0"/>
    <x v="1"/>
    <x v="0"/>
    <x v="3"/>
    <x v="4"/>
    <x v="2"/>
    <x v="1"/>
  </r>
  <r>
    <s v="TX500325"/>
    <x v="1"/>
    <x v="1"/>
    <n v="100"/>
    <n v="200"/>
    <x v="13"/>
    <d v="2025-01-15T00:00:00"/>
    <s v="F"/>
    <x v="0"/>
    <x v="0"/>
    <x v="0"/>
    <x v="3"/>
    <x v="3"/>
    <x v="2"/>
    <x v="2"/>
  </r>
  <r>
    <s v="TX500326"/>
    <x v="10"/>
    <x v="2"/>
    <n v="43"/>
    <n v="129"/>
    <x v="14"/>
    <d v="2025-01-15T00:00:00"/>
    <s v="F"/>
    <x v="2"/>
    <x v="1"/>
    <x v="0"/>
    <x v="3"/>
    <x v="7"/>
    <x v="2"/>
    <x v="2"/>
  </r>
  <r>
    <s v="TX500327"/>
    <x v="1"/>
    <x v="9"/>
    <n v="64.400000000000006"/>
    <n v="322"/>
    <x v="14"/>
    <d v="2025-01-17T00:00:00"/>
    <s v="M"/>
    <x v="2"/>
    <x v="1"/>
    <x v="0"/>
    <x v="3"/>
    <x v="1"/>
    <x v="2"/>
    <x v="1"/>
  </r>
  <r>
    <s v="TX500328"/>
    <x v="18"/>
    <x v="1"/>
    <n v="57.4"/>
    <n v="114.8"/>
    <x v="14"/>
    <d v="2025-01-16T00:00:00"/>
    <s v="M"/>
    <x v="2"/>
    <x v="1"/>
    <x v="0"/>
    <x v="3"/>
    <x v="3"/>
    <x v="2"/>
    <x v="1"/>
  </r>
  <r>
    <s v="TX500329"/>
    <x v="2"/>
    <x v="2"/>
    <n v="55.1"/>
    <n v="165.3"/>
    <x v="14"/>
    <d v="2025-01-18T00:00:00"/>
    <s v="F"/>
    <x v="1"/>
    <x v="0"/>
    <x v="0"/>
    <x v="3"/>
    <x v="2"/>
    <x v="2"/>
    <x v="2"/>
  </r>
  <r>
    <s v="TX500330"/>
    <x v="7"/>
    <x v="12"/>
    <n v="45.4"/>
    <n v="181.6"/>
    <x v="14"/>
    <d v="2025-01-16T00:00:00"/>
    <s v="F"/>
    <x v="1"/>
    <x v="0"/>
    <x v="0"/>
    <x v="3"/>
    <x v="3"/>
    <x v="2"/>
    <x v="2"/>
  </r>
  <r>
    <s v="TX500331"/>
    <x v="3"/>
    <x v="2"/>
    <n v="93.3"/>
    <n v="279.89999999999998"/>
    <x v="14"/>
    <d v="2025-01-16T00:00:00"/>
    <s v="F"/>
    <x v="0"/>
    <x v="0"/>
    <x v="0"/>
    <x v="40"/>
    <x v="3"/>
    <x v="2"/>
    <x v="2"/>
  </r>
  <r>
    <s v="TX500332"/>
    <x v="2"/>
    <x v="10"/>
    <n v="158.19999999999999"/>
    <n v="3005.7999999999997"/>
    <x v="14"/>
    <d v="2025-01-16T00:00:00"/>
    <s v="F"/>
    <x v="1"/>
    <x v="2"/>
    <x v="0"/>
    <x v="16"/>
    <x v="3"/>
    <x v="2"/>
    <x v="2"/>
  </r>
  <r>
    <s v="TX500333"/>
    <x v="2"/>
    <x v="1"/>
    <n v="74.900000000000006"/>
    <n v="149.80000000000001"/>
    <x v="14"/>
    <d v="2025-01-17T00:00:00"/>
    <s v="M"/>
    <x v="3"/>
    <x v="0"/>
    <x v="0"/>
    <x v="6"/>
    <x v="1"/>
    <x v="2"/>
    <x v="1"/>
  </r>
  <r>
    <s v="TX500334"/>
    <x v="8"/>
    <x v="3"/>
    <n v="26"/>
    <n v="182"/>
    <x v="14"/>
    <d v="2025-01-18T00:00:00"/>
    <s v="F"/>
    <x v="1"/>
    <x v="0"/>
    <x v="0"/>
    <x v="8"/>
    <x v="2"/>
    <x v="2"/>
    <x v="2"/>
  </r>
  <r>
    <s v="TX500335"/>
    <x v="9"/>
    <x v="13"/>
    <n v="37.5"/>
    <n v="225"/>
    <x v="14"/>
    <d v="2025-01-16T00:00:00"/>
    <s v="F"/>
    <x v="0"/>
    <x v="1"/>
    <x v="0"/>
    <x v="8"/>
    <x v="3"/>
    <x v="2"/>
    <x v="2"/>
  </r>
  <r>
    <s v="TX500336"/>
    <x v="6"/>
    <x v="1"/>
    <n v="75.8"/>
    <n v="151.6"/>
    <x v="14"/>
    <d v="2025-01-21T00:00:00"/>
    <s v="M"/>
    <x v="0"/>
    <x v="0"/>
    <x v="0"/>
    <x v="8"/>
    <x v="4"/>
    <x v="2"/>
    <x v="1"/>
  </r>
  <r>
    <s v="TX500337"/>
    <x v="7"/>
    <x v="0"/>
    <n v="48.5"/>
    <n v="48.5"/>
    <x v="14"/>
    <d v="2025-01-27T00:00:00"/>
    <s v=""/>
    <x v="4"/>
    <x v="2"/>
    <x v="0"/>
    <x v="8"/>
    <x v="13"/>
    <x v="2"/>
    <x v="0"/>
  </r>
  <r>
    <s v="TX500338"/>
    <x v="6"/>
    <x v="2"/>
    <n v="98.9"/>
    <n v="296.70000000000005"/>
    <x v="14"/>
    <d v="2025-01-17T00:00:00"/>
    <s v="F"/>
    <x v="4"/>
    <x v="1"/>
    <x v="0"/>
    <x v="8"/>
    <x v="1"/>
    <x v="2"/>
    <x v="2"/>
  </r>
  <r>
    <s v="TX500339"/>
    <x v="1"/>
    <x v="4"/>
    <n v="50.9"/>
    <n v="610.79999999999995"/>
    <x v="14"/>
    <d v="2025-01-15T00:00:00"/>
    <s v="M"/>
    <x v="4"/>
    <x v="0"/>
    <x v="0"/>
    <x v="8"/>
    <x v="7"/>
    <x v="2"/>
    <x v="1"/>
  </r>
  <r>
    <s v="TX500340"/>
    <x v="12"/>
    <x v="13"/>
    <n v="84.7"/>
    <n v="508.20000000000005"/>
    <x v="14"/>
    <d v="2025-01-15T00:00:00"/>
    <s v="F"/>
    <x v="2"/>
    <x v="0"/>
    <x v="0"/>
    <x v="8"/>
    <x v="7"/>
    <x v="2"/>
    <x v="2"/>
  </r>
  <r>
    <s v="TX500341"/>
    <x v="8"/>
    <x v="0"/>
    <n v="20.7"/>
    <n v="20.7"/>
    <x v="14"/>
    <d v="2025-01-17T00:00:00"/>
    <s v="F"/>
    <x v="3"/>
    <x v="2"/>
    <x v="0"/>
    <x v="8"/>
    <x v="1"/>
    <x v="2"/>
    <x v="2"/>
  </r>
  <r>
    <s v="TX500342"/>
    <x v="12"/>
    <x v="11"/>
    <n v="57.8"/>
    <n v="520.19999999999993"/>
    <x v="14"/>
    <d v="2025-01-26T00:00:00"/>
    <s v="M"/>
    <x v="0"/>
    <x v="4"/>
    <x v="0"/>
    <x v="17"/>
    <x v="11"/>
    <x v="2"/>
    <x v="1"/>
  </r>
  <r>
    <s v="TX500343"/>
    <x v="2"/>
    <x v="1"/>
    <n v="106.9"/>
    <n v="213.8"/>
    <x v="14"/>
    <d v="2025-01-17T00:00:00"/>
    <s v="F"/>
    <x v="0"/>
    <x v="2"/>
    <x v="0"/>
    <x v="41"/>
    <x v="1"/>
    <x v="2"/>
    <x v="2"/>
  </r>
  <r>
    <s v="TX500344"/>
    <x v="3"/>
    <x v="9"/>
    <n v="45.2"/>
    <n v="226"/>
    <x v="14"/>
    <d v="2025-01-19T00:00:00"/>
    <s v="F"/>
    <x v="1"/>
    <x v="0"/>
    <x v="0"/>
    <x v="21"/>
    <x v="5"/>
    <x v="2"/>
    <x v="2"/>
  </r>
  <r>
    <s v="TX500345"/>
    <x v="8"/>
    <x v="15"/>
    <n v="34.6"/>
    <n v="449.8"/>
    <x v="14"/>
    <d v="2025-01-15T00:00:00"/>
    <s v="F"/>
    <x v="1"/>
    <x v="1"/>
    <x v="0"/>
    <x v="21"/>
    <x v="7"/>
    <x v="2"/>
    <x v="2"/>
  </r>
  <r>
    <s v="TX500346"/>
    <x v="15"/>
    <x v="0"/>
    <n v="43.8"/>
    <n v="43.8"/>
    <x v="14"/>
    <d v="2025-01-17T00:00:00"/>
    <s v=""/>
    <x v="0"/>
    <x v="2"/>
    <x v="0"/>
    <x v="21"/>
    <x v="1"/>
    <x v="2"/>
    <x v="0"/>
  </r>
  <r>
    <s v="TX500347"/>
    <x v="15"/>
    <x v="0"/>
    <n v="20.399999999999999"/>
    <n v="20.399999999999999"/>
    <x v="14"/>
    <d v="2025-01-17T00:00:00"/>
    <s v="M"/>
    <x v="4"/>
    <x v="1"/>
    <x v="0"/>
    <x v="21"/>
    <x v="1"/>
    <x v="2"/>
    <x v="1"/>
  </r>
  <r>
    <s v="TX500348"/>
    <x v="1"/>
    <x v="0"/>
    <n v="36.700000000000003"/>
    <n v="36.700000000000003"/>
    <x v="14"/>
    <d v="2025-01-16T00:00:00"/>
    <s v="M"/>
    <x v="0"/>
    <x v="1"/>
    <x v="0"/>
    <x v="1"/>
    <x v="3"/>
    <x v="2"/>
    <x v="1"/>
  </r>
  <r>
    <s v="TX500349"/>
    <x v="8"/>
    <x v="2"/>
    <n v="27.2"/>
    <n v="81.599999999999994"/>
    <x v="14"/>
    <d v="2025-01-19T00:00:00"/>
    <s v="M"/>
    <x v="0"/>
    <x v="2"/>
    <x v="0"/>
    <x v="1"/>
    <x v="5"/>
    <x v="2"/>
    <x v="1"/>
  </r>
  <r>
    <s v="TX500350"/>
    <x v="6"/>
    <x v="0"/>
    <n v="58.2"/>
    <n v="58.2"/>
    <x v="14"/>
    <d v="2025-01-16T00:00:00"/>
    <s v="F"/>
    <x v="0"/>
    <x v="2"/>
    <x v="0"/>
    <x v="42"/>
    <x v="3"/>
    <x v="2"/>
    <x v="2"/>
  </r>
  <r>
    <s v="TX500351"/>
    <x v="8"/>
    <x v="2"/>
    <n v="25.6"/>
    <n v="76.800000000000011"/>
    <x v="14"/>
    <d v="2025-01-16T00:00:00"/>
    <s v="M"/>
    <x v="4"/>
    <x v="4"/>
    <x v="0"/>
    <x v="2"/>
    <x v="3"/>
    <x v="2"/>
    <x v="1"/>
  </r>
  <r>
    <s v="TX500352"/>
    <x v="10"/>
    <x v="0"/>
    <n v="21.2"/>
    <n v="21.2"/>
    <x v="14"/>
    <d v="2025-01-15T00:00:00"/>
    <s v="F"/>
    <x v="1"/>
    <x v="2"/>
    <x v="0"/>
    <x v="3"/>
    <x v="7"/>
    <x v="2"/>
    <x v="2"/>
  </r>
  <r>
    <s v="TX500353"/>
    <x v="6"/>
    <x v="1"/>
    <n v="48.2"/>
    <n v="96.4"/>
    <x v="14"/>
    <d v="2025-01-23T00:00:00"/>
    <s v="F"/>
    <x v="0"/>
    <x v="2"/>
    <x v="0"/>
    <x v="3"/>
    <x v="9"/>
    <x v="2"/>
    <x v="2"/>
  </r>
  <r>
    <s v="TX500354"/>
    <x v="1"/>
    <x v="12"/>
    <n v="83.4"/>
    <n v="333.6"/>
    <x v="15"/>
    <d v="2025-01-17T00:00:00"/>
    <s v="M"/>
    <x v="0"/>
    <x v="0"/>
    <x v="0"/>
    <x v="3"/>
    <x v="3"/>
    <x v="2"/>
    <x v="1"/>
  </r>
  <r>
    <s v="TX500355"/>
    <x v="9"/>
    <x v="2"/>
    <n v="45.3"/>
    <n v="135.89999999999998"/>
    <x v="15"/>
    <d v="2025-01-22T00:00:00"/>
    <s v="M"/>
    <x v="2"/>
    <x v="1"/>
    <x v="0"/>
    <x v="3"/>
    <x v="4"/>
    <x v="2"/>
    <x v="1"/>
  </r>
  <r>
    <s v="TX500356"/>
    <x v="17"/>
    <x v="0"/>
    <n v="42"/>
    <n v="42"/>
    <x v="15"/>
    <d v="2025-01-17T00:00:00"/>
    <s v=""/>
    <x v="0"/>
    <x v="0"/>
    <x v="0"/>
    <x v="3"/>
    <x v="3"/>
    <x v="2"/>
    <x v="0"/>
  </r>
  <r>
    <s v="TX500357"/>
    <x v="0"/>
    <x v="11"/>
    <n v="21.8"/>
    <n v="196.20000000000002"/>
    <x v="15"/>
    <d v="2025-01-18T00:00:00"/>
    <s v="F"/>
    <x v="1"/>
    <x v="0"/>
    <x v="0"/>
    <x v="3"/>
    <x v="1"/>
    <x v="2"/>
    <x v="2"/>
  </r>
  <r>
    <s v="TX500358"/>
    <x v="8"/>
    <x v="16"/>
    <n v="21.4"/>
    <n v="385.2"/>
    <x v="15"/>
    <d v="2025-01-19T00:00:00"/>
    <s v="F"/>
    <x v="1"/>
    <x v="2"/>
    <x v="0"/>
    <x v="3"/>
    <x v="2"/>
    <x v="2"/>
    <x v="2"/>
  </r>
  <r>
    <s v="TX500359"/>
    <x v="10"/>
    <x v="2"/>
    <n v="45"/>
    <n v="135"/>
    <x v="15"/>
    <d v="2025-01-16T00:00:00"/>
    <s v="F"/>
    <x v="1"/>
    <x v="2"/>
    <x v="0"/>
    <x v="3"/>
    <x v="7"/>
    <x v="2"/>
    <x v="2"/>
  </r>
  <r>
    <s v="TX500360"/>
    <x v="14"/>
    <x v="0"/>
    <n v="39.6"/>
    <n v="39.6"/>
    <x v="15"/>
    <d v="2025-01-17T00:00:00"/>
    <s v="M"/>
    <x v="0"/>
    <x v="2"/>
    <x v="0"/>
    <x v="3"/>
    <x v="3"/>
    <x v="2"/>
    <x v="1"/>
  </r>
  <r>
    <s v="TX500361"/>
    <x v="12"/>
    <x v="2"/>
    <n v="79.8"/>
    <n v="239.39999999999998"/>
    <x v="15"/>
    <d v="2025-01-22T00:00:00"/>
    <s v="F"/>
    <x v="1"/>
    <x v="4"/>
    <x v="0"/>
    <x v="3"/>
    <x v="4"/>
    <x v="2"/>
    <x v="2"/>
  </r>
  <r>
    <s v="TX500362"/>
    <x v="1"/>
    <x v="12"/>
    <n v="63.6"/>
    <n v="254.4"/>
    <x v="15"/>
    <d v="2025-01-17T00:00:00"/>
    <s v="O"/>
    <x v="0"/>
    <x v="2"/>
    <x v="0"/>
    <x v="24"/>
    <x v="3"/>
    <x v="2"/>
    <x v="3"/>
  </r>
  <r>
    <s v="TX500363"/>
    <x v="7"/>
    <x v="7"/>
    <n v="92.7"/>
    <n v="927"/>
    <x v="15"/>
    <d v="2025-01-20T00:00:00"/>
    <s v="M"/>
    <x v="1"/>
    <x v="2"/>
    <x v="0"/>
    <x v="6"/>
    <x v="5"/>
    <x v="2"/>
    <x v="1"/>
  </r>
  <r>
    <s v="TX500364"/>
    <x v="1"/>
    <x v="12"/>
    <n v="48.4"/>
    <n v="193.6"/>
    <x v="15"/>
    <d v="2025-01-18T00:00:00"/>
    <s v="F"/>
    <x v="1"/>
    <x v="2"/>
    <x v="0"/>
    <x v="6"/>
    <x v="1"/>
    <x v="2"/>
    <x v="2"/>
  </r>
  <r>
    <s v="TX500365"/>
    <x v="9"/>
    <x v="8"/>
    <n v="36"/>
    <n v="288"/>
    <x v="15"/>
    <d v="2025-01-19T00:00:00"/>
    <s v="M"/>
    <x v="2"/>
    <x v="2"/>
    <x v="0"/>
    <x v="8"/>
    <x v="2"/>
    <x v="2"/>
    <x v="1"/>
  </r>
  <r>
    <s v="TX500366"/>
    <x v="8"/>
    <x v="4"/>
    <n v="27"/>
    <n v="324"/>
    <x v="15"/>
    <d v="2025-01-18T00:00:00"/>
    <s v="F"/>
    <x v="2"/>
    <x v="1"/>
    <x v="0"/>
    <x v="8"/>
    <x v="1"/>
    <x v="2"/>
    <x v="2"/>
  </r>
  <r>
    <s v="TX500367"/>
    <x v="2"/>
    <x v="8"/>
    <n v="53.9"/>
    <n v="431.2"/>
    <x v="15"/>
    <d v="2025-01-17T00:00:00"/>
    <s v=""/>
    <x v="0"/>
    <x v="0"/>
    <x v="0"/>
    <x v="8"/>
    <x v="3"/>
    <x v="2"/>
    <x v="0"/>
  </r>
  <r>
    <s v="TX500368"/>
    <x v="3"/>
    <x v="11"/>
    <n v="48.4"/>
    <n v="435.59999999999997"/>
    <x v="15"/>
    <d v="2025-01-17T00:00:00"/>
    <s v="F"/>
    <x v="1"/>
    <x v="0"/>
    <x v="0"/>
    <x v="9"/>
    <x v="3"/>
    <x v="2"/>
    <x v="2"/>
  </r>
  <r>
    <s v="TX500369"/>
    <x v="17"/>
    <x v="1"/>
    <n v="49.9"/>
    <n v="99.8"/>
    <x v="15"/>
    <d v="2025-01-21T00:00:00"/>
    <s v="M"/>
    <x v="4"/>
    <x v="4"/>
    <x v="0"/>
    <x v="10"/>
    <x v="0"/>
    <x v="2"/>
    <x v="1"/>
  </r>
  <r>
    <s v="TX500370"/>
    <x v="1"/>
    <x v="2"/>
    <n v="51.7"/>
    <n v="155.10000000000002"/>
    <x v="15"/>
    <d v="2025-01-17T00:00:00"/>
    <s v="F"/>
    <x v="0"/>
    <x v="2"/>
    <x v="0"/>
    <x v="11"/>
    <x v="3"/>
    <x v="2"/>
    <x v="2"/>
  </r>
  <r>
    <s v="TX500371"/>
    <x v="8"/>
    <x v="2"/>
    <n v="41.8"/>
    <n v="125.39999999999999"/>
    <x v="15"/>
    <d v="2025-01-18T00:00:00"/>
    <s v="F"/>
    <x v="2"/>
    <x v="0"/>
    <x v="0"/>
    <x v="18"/>
    <x v="1"/>
    <x v="2"/>
    <x v="2"/>
  </r>
  <r>
    <s v="TX500372"/>
    <x v="4"/>
    <x v="12"/>
    <n v="36.200000000000003"/>
    <n v="144.80000000000001"/>
    <x v="16"/>
    <d v="2025-01-18T00:00:00"/>
    <s v="M"/>
    <x v="2"/>
    <x v="2"/>
    <x v="0"/>
    <x v="21"/>
    <x v="3"/>
    <x v="2"/>
    <x v="1"/>
  </r>
  <r>
    <s v="TX500373"/>
    <x v="2"/>
    <x v="0"/>
    <n v="150.9"/>
    <n v="150.9"/>
    <x v="16"/>
    <d v="2025-01-27T00:00:00"/>
    <s v="M"/>
    <x v="0"/>
    <x v="0"/>
    <x v="0"/>
    <x v="1"/>
    <x v="14"/>
    <x v="2"/>
    <x v="1"/>
  </r>
  <r>
    <s v="TX500374"/>
    <x v="18"/>
    <x v="12"/>
    <n v="77.599999999999994"/>
    <n v="310.39999999999998"/>
    <x v="16"/>
    <d v="2025-01-18T00:00:00"/>
    <s v=""/>
    <x v="2"/>
    <x v="0"/>
    <x v="0"/>
    <x v="3"/>
    <x v="3"/>
    <x v="2"/>
    <x v="0"/>
  </r>
  <r>
    <s v="TX500375"/>
    <x v="13"/>
    <x v="9"/>
    <n v="65.5"/>
    <n v="327.5"/>
    <x v="16"/>
    <d v="2025-01-17T00:00:00"/>
    <s v="M"/>
    <x v="1"/>
    <x v="0"/>
    <x v="0"/>
    <x v="3"/>
    <x v="7"/>
    <x v="2"/>
    <x v="1"/>
  </r>
  <r>
    <s v="TX500376"/>
    <x v="6"/>
    <x v="2"/>
    <n v="90.1"/>
    <n v="270.29999999999995"/>
    <x v="16"/>
    <d v="2025-01-19T00:00:00"/>
    <s v="F"/>
    <x v="0"/>
    <x v="0"/>
    <x v="0"/>
    <x v="3"/>
    <x v="1"/>
    <x v="2"/>
    <x v="2"/>
  </r>
  <r>
    <s v="TX500377"/>
    <x v="1"/>
    <x v="1"/>
    <n v="108.3"/>
    <n v="216.6"/>
    <x v="16"/>
    <d v="2025-01-20T00:00:00"/>
    <s v="O"/>
    <x v="4"/>
    <x v="0"/>
    <x v="0"/>
    <x v="3"/>
    <x v="2"/>
    <x v="2"/>
    <x v="3"/>
  </r>
  <r>
    <s v="TX500378"/>
    <x v="5"/>
    <x v="2"/>
    <n v="59.9"/>
    <n v="179.7"/>
    <x v="16"/>
    <d v="2025-01-21T00:00:00"/>
    <s v="F"/>
    <x v="0"/>
    <x v="0"/>
    <x v="0"/>
    <x v="3"/>
    <x v="5"/>
    <x v="2"/>
    <x v="2"/>
  </r>
  <r>
    <s v="TX500379"/>
    <x v="2"/>
    <x v="14"/>
    <n v="139"/>
    <n v="2363"/>
    <x v="16"/>
    <d v="2025-01-19T00:00:00"/>
    <s v="F"/>
    <x v="1"/>
    <x v="4"/>
    <x v="0"/>
    <x v="3"/>
    <x v="1"/>
    <x v="2"/>
    <x v="2"/>
  </r>
  <r>
    <s v="TX500380"/>
    <x v="6"/>
    <x v="2"/>
    <n v="87.3"/>
    <n v="261.89999999999998"/>
    <x v="16"/>
    <d v="2025-01-18T00:00:00"/>
    <s v="F"/>
    <x v="0"/>
    <x v="0"/>
    <x v="0"/>
    <x v="3"/>
    <x v="3"/>
    <x v="2"/>
    <x v="2"/>
  </r>
  <r>
    <s v="TX500381"/>
    <x v="11"/>
    <x v="12"/>
    <n v="42.3"/>
    <n v="169.2"/>
    <x v="16"/>
    <d v="2025-01-17T00:00:00"/>
    <s v="M"/>
    <x v="0"/>
    <x v="0"/>
    <x v="0"/>
    <x v="3"/>
    <x v="7"/>
    <x v="2"/>
    <x v="1"/>
  </r>
  <r>
    <s v="TX500382"/>
    <x v="14"/>
    <x v="8"/>
    <n v="103.6"/>
    <n v="828.8"/>
    <x v="16"/>
    <d v="2025-01-18T00:00:00"/>
    <s v="O"/>
    <x v="0"/>
    <x v="1"/>
    <x v="0"/>
    <x v="3"/>
    <x v="3"/>
    <x v="2"/>
    <x v="3"/>
  </r>
  <r>
    <s v="TX500383"/>
    <x v="6"/>
    <x v="1"/>
    <n v="90.9"/>
    <n v="181.8"/>
    <x v="16"/>
    <d v="2025-01-18T00:00:00"/>
    <s v="M"/>
    <x v="1"/>
    <x v="0"/>
    <x v="0"/>
    <x v="6"/>
    <x v="3"/>
    <x v="2"/>
    <x v="1"/>
  </r>
  <r>
    <s v="TX500384"/>
    <x v="9"/>
    <x v="27"/>
    <n v="100.9"/>
    <n v="1614.4"/>
    <x v="16"/>
    <d v="2025-01-18T00:00:00"/>
    <s v="F"/>
    <x v="1"/>
    <x v="0"/>
    <x v="0"/>
    <x v="6"/>
    <x v="3"/>
    <x v="2"/>
    <x v="2"/>
  </r>
  <r>
    <s v="TX500385"/>
    <x v="4"/>
    <x v="9"/>
    <n v="36"/>
    <n v="180"/>
    <x v="16"/>
    <d v="2025-01-19T00:00:00"/>
    <s v="F"/>
    <x v="1"/>
    <x v="0"/>
    <x v="0"/>
    <x v="7"/>
    <x v="1"/>
    <x v="2"/>
    <x v="2"/>
  </r>
  <r>
    <s v="TX500386"/>
    <x v="6"/>
    <x v="13"/>
    <n v="83.3"/>
    <n v="499.79999999999995"/>
    <x v="16"/>
    <d v="2025-01-20T00:00:00"/>
    <s v=""/>
    <x v="2"/>
    <x v="0"/>
    <x v="0"/>
    <x v="7"/>
    <x v="2"/>
    <x v="2"/>
    <x v="0"/>
  </r>
  <r>
    <s v="TX500387"/>
    <x v="2"/>
    <x v="14"/>
    <n v="60.3"/>
    <n v="1025.0999999999999"/>
    <x v="16"/>
    <d v="2025-01-18T00:00:00"/>
    <s v="M"/>
    <x v="2"/>
    <x v="1"/>
    <x v="0"/>
    <x v="7"/>
    <x v="3"/>
    <x v="2"/>
    <x v="1"/>
  </r>
  <r>
    <s v="TX500388"/>
    <x v="2"/>
    <x v="13"/>
    <n v="120.3"/>
    <n v="721.8"/>
    <x v="16"/>
    <d v="2025-01-18T00:00:00"/>
    <s v="M"/>
    <x v="2"/>
    <x v="0"/>
    <x v="0"/>
    <x v="8"/>
    <x v="3"/>
    <x v="2"/>
    <x v="1"/>
  </r>
  <r>
    <s v="TX500389"/>
    <x v="4"/>
    <x v="7"/>
    <n v="34"/>
    <n v="340"/>
    <x v="16"/>
    <d v="2025-01-21T00:00:00"/>
    <s v="F"/>
    <x v="2"/>
    <x v="0"/>
    <x v="0"/>
    <x v="8"/>
    <x v="5"/>
    <x v="2"/>
    <x v="2"/>
  </r>
  <r>
    <s v="TX500390"/>
    <x v="10"/>
    <x v="9"/>
    <n v="42.6"/>
    <n v="213"/>
    <x v="16"/>
    <d v="2025-01-20T00:00:00"/>
    <s v="M"/>
    <x v="1"/>
    <x v="0"/>
    <x v="0"/>
    <x v="8"/>
    <x v="2"/>
    <x v="2"/>
    <x v="1"/>
  </r>
  <r>
    <s v="TX500391"/>
    <x v="5"/>
    <x v="28"/>
    <n v="47.4"/>
    <n v="948"/>
    <x v="16"/>
    <d v="2025-01-17T00:00:00"/>
    <s v="F"/>
    <x v="2"/>
    <x v="1"/>
    <x v="0"/>
    <x v="17"/>
    <x v="7"/>
    <x v="2"/>
    <x v="2"/>
  </r>
  <r>
    <s v="TX500392"/>
    <x v="2"/>
    <x v="0"/>
    <n v="74"/>
    <n v="74"/>
    <x v="17"/>
    <d v="2025-01-19T00:00:00"/>
    <s v="M"/>
    <x v="1"/>
    <x v="0"/>
    <x v="0"/>
    <x v="11"/>
    <x v="3"/>
    <x v="2"/>
    <x v="1"/>
  </r>
  <r>
    <s v="TX500393"/>
    <x v="2"/>
    <x v="9"/>
    <n v="60.4"/>
    <n v="302"/>
    <x v="17"/>
    <d v="2025-01-21T00:00:00"/>
    <s v="F"/>
    <x v="1"/>
    <x v="4"/>
    <x v="0"/>
    <x v="18"/>
    <x v="2"/>
    <x v="2"/>
    <x v="2"/>
  </r>
  <r>
    <s v="TX500394"/>
    <x v="12"/>
    <x v="1"/>
    <n v="69.3"/>
    <n v="138.6"/>
    <x v="17"/>
    <d v="2025-01-21T00:00:00"/>
    <s v="M"/>
    <x v="1"/>
    <x v="1"/>
    <x v="0"/>
    <x v="13"/>
    <x v="2"/>
    <x v="2"/>
    <x v="1"/>
  </r>
  <r>
    <s v="TX500395"/>
    <x v="5"/>
    <x v="9"/>
    <n v="81"/>
    <n v="405"/>
    <x v="17"/>
    <d v="2025-01-24T00:00:00"/>
    <s v="M"/>
    <x v="3"/>
    <x v="0"/>
    <x v="0"/>
    <x v="21"/>
    <x v="4"/>
    <x v="2"/>
    <x v="1"/>
  </r>
  <r>
    <s v="TX500396"/>
    <x v="15"/>
    <x v="2"/>
    <n v="41.5"/>
    <n v="124.5"/>
    <x v="17"/>
    <d v="2025-01-20T00:00:00"/>
    <s v="O"/>
    <x v="1"/>
    <x v="0"/>
    <x v="0"/>
    <x v="21"/>
    <x v="1"/>
    <x v="2"/>
    <x v="3"/>
  </r>
  <r>
    <s v="TX500397"/>
    <x v="18"/>
    <x v="1"/>
    <n v="69.7"/>
    <n v="139.4"/>
    <x v="17"/>
    <d v="2025-01-23T00:00:00"/>
    <s v="M"/>
    <x v="1"/>
    <x v="0"/>
    <x v="0"/>
    <x v="21"/>
    <x v="0"/>
    <x v="2"/>
    <x v="1"/>
  </r>
  <r>
    <s v="TX500398"/>
    <x v="2"/>
    <x v="9"/>
    <n v="83.6"/>
    <n v="418"/>
    <x v="17"/>
    <d v="2025-01-18T00:00:00"/>
    <s v="F"/>
    <x v="4"/>
    <x v="0"/>
    <x v="0"/>
    <x v="1"/>
    <x v="7"/>
    <x v="2"/>
    <x v="2"/>
  </r>
  <r>
    <s v="TX500399"/>
    <x v="8"/>
    <x v="3"/>
    <n v="21.5"/>
    <n v="150.5"/>
    <x v="17"/>
    <d v="2025-01-20T00:00:00"/>
    <s v="M"/>
    <x v="1"/>
    <x v="4"/>
    <x v="0"/>
    <x v="34"/>
    <x v="1"/>
    <x v="2"/>
    <x v="1"/>
  </r>
  <r>
    <s v="TX500400"/>
    <x v="8"/>
    <x v="8"/>
    <n v="28.6"/>
    <n v="228.8"/>
    <x v="17"/>
    <d v="2025-01-19T00:00:00"/>
    <s v="M"/>
    <x v="0"/>
    <x v="0"/>
    <x v="0"/>
    <x v="3"/>
    <x v="3"/>
    <x v="2"/>
    <x v="1"/>
  </r>
  <r>
    <s v="TX500401"/>
    <x v="8"/>
    <x v="13"/>
    <n v="18.8"/>
    <n v="112.80000000000001"/>
    <x v="17"/>
    <d v="2025-01-21T00:00:00"/>
    <s v="M"/>
    <x v="3"/>
    <x v="2"/>
    <x v="0"/>
    <x v="3"/>
    <x v="2"/>
    <x v="2"/>
    <x v="1"/>
  </r>
  <r>
    <s v="TX500402"/>
    <x v="10"/>
    <x v="12"/>
    <n v="35.1"/>
    <n v="140.4"/>
    <x v="17"/>
    <d v="2025-01-18T00:00:00"/>
    <s v="F"/>
    <x v="1"/>
    <x v="1"/>
    <x v="0"/>
    <x v="3"/>
    <x v="7"/>
    <x v="2"/>
    <x v="2"/>
  </r>
  <r>
    <s v="TX500403"/>
    <x v="0"/>
    <x v="1"/>
    <n v="12.7"/>
    <n v="25.4"/>
    <x v="17"/>
    <d v="2025-01-20T00:00:00"/>
    <s v="F"/>
    <x v="1"/>
    <x v="2"/>
    <x v="0"/>
    <x v="3"/>
    <x v="1"/>
    <x v="2"/>
    <x v="2"/>
  </r>
  <r>
    <s v="TX500404"/>
    <x v="8"/>
    <x v="9"/>
    <n v="27.4"/>
    <n v="137"/>
    <x v="17"/>
    <d v="2025-01-20T00:00:00"/>
    <s v="O"/>
    <x v="0"/>
    <x v="0"/>
    <x v="0"/>
    <x v="3"/>
    <x v="1"/>
    <x v="2"/>
    <x v="3"/>
  </r>
  <r>
    <s v="TX500405"/>
    <x v="10"/>
    <x v="1"/>
    <n v="61.3"/>
    <n v="122.6"/>
    <x v="17"/>
    <d v="2025-01-19T00:00:00"/>
    <s v="F"/>
    <x v="1"/>
    <x v="0"/>
    <x v="0"/>
    <x v="6"/>
    <x v="3"/>
    <x v="2"/>
    <x v="2"/>
  </r>
  <r>
    <s v="TX500406"/>
    <x v="8"/>
    <x v="1"/>
    <n v="64.7"/>
    <n v="129.4"/>
    <x v="17"/>
    <d v="2025-01-20T00:00:00"/>
    <s v="F"/>
    <x v="3"/>
    <x v="2"/>
    <x v="0"/>
    <x v="6"/>
    <x v="1"/>
    <x v="2"/>
    <x v="2"/>
  </r>
  <r>
    <s v="TX500407"/>
    <x v="7"/>
    <x v="12"/>
    <n v="91.4"/>
    <n v="365.6"/>
    <x v="17"/>
    <d v="2025-01-20T00:00:00"/>
    <s v="F"/>
    <x v="0"/>
    <x v="0"/>
    <x v="0"/>
    <x v="8"/>
    <x v="1"/>
    <x v="2"/>
    <x v="2"/>
  </r>
  <r>
    <s v="TX500408"/>
    <x v="0"/>
    <x v="1"/>
    <n v="33.1"/>
    <n v="66.2"/>
    <x v="18"/>
    <d v="2025-01-20T00:00:00"/>
    <s v="M"/>
    <x v="0"/>
    <x v="2"/>
    <x v="0"/>
    <x v="8"/>
    <x v="3"/>
    <x v="3"/>
    <x v="1"/>
  </r>
  <r>
    <s v="TX500409"/>
    <x v="3"/>
    <x v="1"/>
    <n v="105.6"/>
    <n v="211.2"/>
    <x v="18"/>
    <d v="2025-01-20T00:00:00"/>
    <s v="M"/>
    <x v="2"/>
    <x v="1"/>
    <x v="0"/>
    <x v="8"/>
    <x v="3"/>
    <x v="3"/>
    <x v="1"/>
  </r>
  <r>
    <s v="TX500410"/>
    <x v="10"/>
    <x v="2"/>
    <n v="46.4"/>
    <n v="139.19999999999999"/>
    <x v="18"/>
    <d v="2025-01-20T00:00:00"/>
    <s v="M"/>
    <x v="2"/>
    <x v="0"/>
    <x v="0"/>
    <x v="9"/>
    <x v="3"/>
    <x v="3"/>
    <x v="1"/>
  </r>
  <r>
    <s v="TX500411"/>
    <x v="9"/>
    <x v="21"/>
    <n v="35.299999999999997"/>
    <n v="494.19999999999993"/>
    <x v="18"/>
    <d v="2025-01-22T00:00:00"/>
    <s v="F"/>
    <x v="4"/>
    <x v="1"/>
    <x v="0"/>
    <x v="11"/>
    <x v="2"/>
    <x v="3"/>
    <x v="2"/>
  </r>
  <r>
    <s v="TX500412"/>
    <x v="0"/>
    <x v="1"/>
    <n v="16.100000000000001"/>
    <n v="32.200000000000003"/>
    <x v="18"/>
    <d v="2025-01-21T00:00:00"/>
    <s v="M"/>
    <x v="3"/>
    <x v="2"/>
    <x v="0"/>
    <x v="32"/>
    <x v="1"/>
    <x v="3"/>
    <x v="1"/>
  </r>
  <r>
    <s v="TX500413"/>
    <x v="4"/>
    <x v="1"/>
    <n v="27.9"/>
    <n v="55.8"/>
    <x v="18"/>
    <d v="2025-01-22T00:00:00"/>
    <s v="M"/>
    <x v="0"/>
    <x v="0"/>
    <x v="0"/>
    <x v="13"/>
    <x v="2"/>
    <x v="3"/>
    <x v="1"/>
  </r>
  <r>
    <s v="TX500414"/>
    <x v="8"/>
    <x v="0"/>
    <n v="47.1"/>
    <n v="47.1"/>
    <x v="18"/>
    <d v="2025-01-27T00:00:00"/>
    <s v="F"/>
    <x v="1"/>
    <x v="0"/>
    <x v="0"/>
    <x v="2"/>
    <x v="9"/>
    <x v="3"/>
    <x v="2"/>
  </r>
  <r>
    <s v="TX500415"/>
    <x v="6"/>
    <x v="1"/>
    <n v="85"/>
    <n v="170"/>
    <x v="18"/>
    <d v="2025-01-22T00:00:00"/>
    <s v=""/>
    <x v="2"/>
    <x v="2"/>
    <x v="0"/>
    <x v="22"/>
    <x v="2"/>
    <x v="3"/>
    <x v="0"/>
  </r>
  <r>
    <s v="TX500416"/>
    <x v="18"/>
    <x v="1"/>
    <n v="89"/>
    <n v="178"/>
    <x v="18"/>
    <d v="2025-01-21T00:00:00"/>
    <s v="F"/>
    <x v="0"/>
    <x v="0"/>
    <x v="0"/>
    <x v="3"/>
    <x v="1"/>
    <x v="3"/>
    <x v="2"/>
  </r>
  <r>
    <s v="TX500417"/>
    <x v="16"/>
    <x v="2"/>
    <n v="36.6"/>
    <n v="109.80000000000001"/>
    <x v="18"/>
    <d v="2025-01-20T00:00:00"/>
    <s v="O"/>
    <x v="3"/>
    <x v="2"/>
    <x v="0"/>
    <x v="3"/>
    <x v="3"/>
    <x v="3"/>
    <x v="3"/>
  </r>
  <r>
    <s v="TX500418"/>
    <x v="6"/>
    <x v="3"/>
    <n v="43.5"/>
    <n v="304.5"/>
    <x v="18"/>
    <d v="2025-01-20T00:00:00"/>
    <s v="M"/>
    <x v="1"/>
    <x v="2"/>
    <x v="0"/>
    <x v="3"/>
    <x v="3"/>
    <x v="3"/>
    <x v="1"/>
  </r>
  <r>
    <s v="TX500419"/>
    <x v="9"/>
    <x v="10"/>
    <n v="30.5"/>
    <n v="579.5"/>
    <x v="18"/>
    <d v="2025-01-19T00:00:00"/>
    <s v="F"/>
    <x v="3"/>
    <x v="0"/>
    <x v="0"/>
    <x v="3"/>
    <x v="7"/>
    <x v="3"/>
    <x v="2"/>
  </r>
  <r>
    <s v="TX500420"/>
    <x v="1"/>
    <x v="1"/>
    <n v="107.7"/>
    <n v="215.4"/>
    <x v="18"/>
    <d v="2025-01-23T00:00:00"/>
    <s v="M"/>
    <x v="3"/>
    <x v="4"/>
    <x v="0"/>
    <x v="3"/>
    <x v="5"/>
    <x v="3"/>
    <x v="1"/>
  </r>
  <r>
    <s v="TX500421"/>
    <x v="17"/>
    <x v="18"/>
    <n v="57.1"/>
    <n v="1484.6000000000001"/>
    <x v="18"/>
    <d v="2025-01-20T00:00:00"/>
    <s v="M"/>
    <x v="1"/>
    <x v="0"/>
    <x v="0"/>
    <x v="3"/>
    <x v="3"/>
    <x v="3"/>
    <x v="1"/>
  </r>
  <r>
    <s v="TX500422"/>
    <x v="2"/>
    <x v="7"/>
    <n v="111.7"/>
    <n v="1117"/>
    <x v="18"/>
    <d v="2025-01-20T00:00:00"/>
    <s v="F"/>
    <x v="4"/>
    <x v="2"/>
    <x v="0"/>
    <x v="3"/>
    <x v="3"/>
    <x v="3"/>
    <x v="2"/>
  </r>
  <r>
    <s v="TX500423"/>
    <x v="18"/>
    <x v="3"/>
    <n v="44.3"/>
    <n v="310.09999999999997"/>
    <x v="18"/>
    <d v="2025-01-22T00:00:00"/>
    <s v="M"/>
    <x v="3"/>
    <x v="2"/>
    <x v="0"/>
    <x v="3"/>
    <x v="2"/>
    <x v="3"/>
    <x v="1"/>
  </r>
  <r>
    <s v="TX500424"/>
    <x v="2"/>
    <x v="8"/>
    <n v="95.8"/>
    <n v="766.4"/>
    <x v="18"/>
    <d v="2025-01-25T00:00:00"/>
    <s v="O"/>
    <x v="0"/>
    <x v="0"/>
    <x v="0"/>
    <x v="3"/>
    <x v="4"/>
    <x v="3"/>
    <x v="3"/>
  </r>
  <r>
    <s v="TX500425"/>
    <x v="10"/>
    <x v="3"/>
    <n v="22.6"/>
    <n v="158.20000000000002"/>
    <x v="18"/>
    <d v="2025-01-22T00:00:00"/>
    <s v="F"/>
    <x v="3"/>
    <x v="1"/>
    <x v="0"/>
    <x v="3"/>
    <x v="2"/>
    <x v="3"/>
    <x v="2"/>
  </r>
  <r>
    <s v="TX500426"/>
    <x v="8"/>
    <x v="8"/>
    <n v="25.6"/>
    <n v="204.8"/>
    <x v="18"/>
    <d v="2025-01-21T00:00:00"/>
    <s v="F"/>
    <x v="4"/>
    <x v="0"/>
    <x v="0"/>
    <x v="3"/>
    <x v="1"/>
    <x v="3"/>
    <x v="2"/>
  </r>
  <r>
    <s v="TX500427"/>
    <x v="6"/>
    <x v="27"/>
    <n v="54.3"/>
    <n v="868.8"/>
    <x v="18"/>
    <d v="2025-01-22T00:00:00"/>
    <s v="F"/>
    <x v="4"/>
    <x v="0"/>
    <x v="0"/>
    <x v="3"/>
    <x v="2"/>
    <x v="3"/>
    <x v="2"/>
  </r>
  <r>
    <s v="TX500428"/>
    <x v="18"/>
    <x v="15"/>
    <n v="51.3"/>
    <n v="666.9"/>
    <x v="18"/>
    <d v="2025-01-21T00:00:00"/>
    <s v="M"/>
    <x v="0"/>
    <x v="2"/>
    <x v="0"/>
    <x v="3"/>
    <x v="1"/>
    <x v="3"/>
    <x v="1"/>
  </r>
  <r>
    <s v="TX500429"/>
    <x v="0"/>
    <x v="8"/>
    <n v="25.6"/>
    <n v="204.8"/>
    <x v="18"/>
    <d v="2025-01-20T00:00:00"/>
    <s v="F"/>
    <x v="1"/>
    <x v="1"/>
    <x v="0"/>
    <x v="3"/>
    <x v="3"/>
    <x v="3"/>
    <x v="2"/>
  </r>
  <r>
    <s v="TX500430"/>
    <x v="0"/>
    <x v="1"/>
    <n v="15.6"/>
    <n v="31.2"/>
    <x v="18"/>
    <d v="2025-01-20T00:00:00"/>
    <s v="F"/>
    <x v="2"/>
    <x v="2"/>
    <x v="0"/>
    <x v="3"/>
    <x v="3"/>
    <x v="3"/>
    <x v="2"/>
  </r>
  <r>
    <s v="TX500431"/>
    <x v="8"/>
    <x v="2"/>
    <n v="30.3"/>
    <n v="90.9"/>
    <x v="18"/>
    <d v="2025-01-23T00:00:00"/>
    <s v="F"/>
    <x v="0"/>
    <x v="1"/>
    <x v="0"/>
    <x v="3"/>
    <x v="5"/>
    <x v="3"/>
    <x v="2"/>
  </r>
  <r>
    <s v="TX500432"/>
    <x v="12"/>
    <x v="1"/>
    <n v="30.3"/>
    <n v="60.6"/>
    <x v="18"/>
    <d v="2025-01-24T00:00:00"/>
    <s v="F"/>
    <x v="0"/>
    <x v="2"/>
    <x v="0"/>
    <x v="37"/>
    <x v="0"/>
    <x v="3"/>
    <x v="2"/>
  </r>
  <r>
    <s v="TX500433"/>
    <x v="10"/>
    <x v="2"/>
    <n v="53"/>
    <n v="159"/>
    <x v="18"/>
    <d v="2025-01-26T00:00:00"/>
    <s v="F"/>
    <x v="2"/>
    <x v="0"/>
    <x v="0"/>
    <x v="24"/>
    <x v="6"/>
    <x v="3"/>
    <x v="2"/>
  </r>
  <r>
    <s v="TX500434"/>
    <x v="5"/>
    <x v="16"/>
    <n v="59.9"/>
    <n v="1078.2"/>
    <x v="18"/>
    <d v="2025-01-22T00:00:00"/>
    <s v="M"/>
    <x v="2"/>
    <x v="4"/>
    <x v="0"/>
    <x v="25"/>
    <x v="2"/>
    <x v="3"/>
    <x v="1"/>
  </r>
  <r>
    <s v="TX500435"/>
    <x v="9"/>
    <x v="1"/>
    <n v="45.7"/>
    <n v="91.4"/>
    <x v="18"/>
    <d v="2025-01-20T00:00:00"/>
    <s v="F"/>
    <x v="1"/>
    <x v="2"/>
    <x v="0"/>
    <x v="6"/>
    <x v="3"/>
    <x v="3"/>
    <x v="2"/>
  </r>
  <r>
    <s v="TX500436"/>
    <x v="8"/>
    <x v="12"/>
    <n v="46.1"/>
    <n v="184.4"/>
    <x v="18"/>
    <d v="2025-01-20T00:00:00"/>
    <s v="M"/>
    <x v="0"/>
    <x v="0"/>
    <x v="0"/>
    <x v="6"/>
    <x v="3"/>
    <x v="3"/>
    <x v="1"/>
  </r>
  <r>
    <s v="TX500437"/>
    <x v="8"/>
    <x v="2"/>
    <n v="17.5"/>
    <n v="52.5"/>
    <x v="18"/>
    <d v="2025-01-20T00:00:00"/>
    <s v="F"/>
    <x v="0"/>
    <x v="2"/>
    <x v="0"/>
    <x v="8"/>
    <x v="3"/>
    <x v="3"/>
    <x v="2"/>
  </r>
  <r>
    <s v="TX500438"/>
    <x v="10"/>
    <x v="2"/>
    <n v="36.5"/>
    <n v="109.5"/>
    <x v="18"/>
    <d v="2025-01-30T00:00:00"/>
    <s v="M"/>
    <x v="2"/>
    <x v="0"/>
    <x v="0"/>
    <x v="8"/>
    <x v="11"/>
    <x v="3"/>
    <x v="1"/>
  </r>
  <r>
    <s v="TX500439"/>
    <x v="8"/>
    <x v="1"/>
    <n v="47.5"/>
    <n v="95"/>
    <x v="19"/>
    <d v="2025-01-22T00:00:00"/>
    <s v="F"/>
    <x v="1"/>
    <x v="0"/>
    <x v="0"/>
    <x v="8"/>
    <x v="1"/>
    <x v="3"/>
    <x v="2"/>
  </r>
  <r>
    <s v="TX500440"/>
    <x v="6"/>
    <x v="9"/>
    <n v="45.6"/>
    <n v="228"/>
    <x v="19"/>
    <d v="2025-01-22T00:00:00"/>
    <s v="F"/>
    <x v="0"/>
    <x v="2"/>
    <x v="0"/>
    <x v="8"/>
    <x v="1"/>
    <x v="3"/>
    <x v="2"/>
  </r>
  <r>
    <s v="TX500441"/>
    <x v="9"/>
    <x v="1"/>
    <n v="50.5"/>
    <n v="101"/>
    <x v="19"/>
    <d v="2025-01-22T00:00:00"/>
    <s v="M"/>
    <x v="0"/>
    <x v="1"/>
    <x v="0"/>
    <x v="17"/>
    <x v="1"/>
    <x v="3"/>
    <x v="1"/>
  </r>
  <r>
    <s v="TX500442"/>
    <x v="2"/>
    <x v="7"/>
    <n v="99.8"/>
    <n v="998"/>
    <x v="19"/>
    <d v="2025-01-23T00:00:00"/>
    <s v="F"/>
    <x v="2"/>
    <x v="1"/>
    <x v="0"/>
    <x v="17"/>
    <x v="2"/>
    <x v="3"/>
    <x v="2"/>
  </r>
  <r>
    <s v="TX500443"/>
    <x v="8"/>
    <x v="20"/>
    <n v="19.2"/>
    <n v="288"/>
    <x v="19"/>
    <d v="2025-01-22T00:00:00"/>
    <s v="O"/>
    <x v="4"/>
    <x v="1"/>
    <x v="0"/>
    <x v="26"/>
    <x v="1"/>
    <x v="3"/>
    <x v="3"/>
  </r>
  <r>
    <s v="TX500444"/>
    <x v="17"/>
    <x v="2"/>
    <n v="22.6"/>
    <n v="67.800000000000011"/>
    <x v="19"/>
    <d v="2025-01-21T00:00:00"/>
    <s v="M"/>
    <x v="1"/>
    <x v="0"/>
    <x v="0"/>
    <x v="11"/>
    <x v="3"/>
    <x v="3"/>
    <x v="1"/>
  </r>
  <r>
    <s v="TX500445"/>
    <x v="1"/>
    <x v="20"/>
    <n v="126.9"/>
    <n v="1903.5"/>
    <x v="19"/>
    <d v="2025-01-22T00:00:00"/>
    <s v="F"/>
    <x v="0"/>
    <x v="2"/>
    <x v="0"/>
    <x v="11"/>
    <x v="1"/>
    <x v="3"/>
    <x v="2"/>
  </r>
  <r>
    <s v="TX500446"/>
    <x v="2"/>
    <x v="1"/>
    <n v="100.3"/>
    <n v="200.6"/>
    <x v="19"/>
    <d v="2025-01-21T00:00:00"/>
    <s v="F"/>
    <x v="0"/>
    <x v="1"/>
    <x v="0"/>
    <x v="11"/>
    <x v="3"/>
    <x v="3"/>
    <x v="2"/>
  </r>
  <r>
    <s v="TX500447"/>
    <x v="4"/>
    <x v="16"/>
    <n v="24.6"/>
    <n v="442.8"/>
    <x v="19"/>
    <d v="2025-01-21T00:00:00"/>
    <s v="F"/>
    <x v="4"/>
    <x v="0"/>
    <x v="0"/>
    <x v="13"/>
    <x v="3"/>
    <x v="3"/>
    <x v="2"/>
  </r>
  <r>
    <s v="TX500448"/>
    <x v="6"/>
    <x v="1"/>
    <n v="47.3"/>
    <n v="94.6"/>
    <x v="19"/>
    <d v="2025-01-21T00:00:00"/>
    <s v="M"/>
    <x v="1"/>
    <x v="2"/>
    <x v="0"/>
    <x v="13"/>
    <x v="3"/>
    <x v="3"/>
    <x v="1"/>
  </r>
  <r>
    <s v="TX500449"/>
    <x v="6"/>
    <x v="3"/>
    <n v="40.799999999999997"/>
    <n v="285.59999999999997"/>
    <x v="19"/>
    <d v="2025-01-23T00:00:00"/>
    <s v="F"/>
    <x v="2"/>
    <x v="2"/>
    <x v="0"/>
    <x v="21"/>
    <x v="2"/>
    <x v="3"/>
    <x v="2"/>
  </r>
  <r>
    <s v="TX500450"/>
    <x v="8"/>
    <x v="8"/>
    <n v="49.2"/>
    <n v="393.6"/>
    <x v="19"/>
    <d v="2025-01-22T00:00:00"/>
    <s v="F"/>
    <x v="0"/>
    <x v="0"/>
    <x v="0"/>
    <x v="1"/>
    <x v="1"/>
    <x v="3"/>
    <x v="2"/>
  </r>
  <r>
    <s v="TX500451"/>
    <x v="8"/>
    <x v="0"/>
    <n v="28.5"/>
    <n v="28.5"/>
    <x v="19"/>
    <d v="2025-01-22T00:00:00"/>
    <s v=""/>
    <x v="2"/>
    <x v="1"/>
    <x v="0"/>
    <x v="3"/>
    <x v="1"/>
    <x v="3"/>
    <x v="0"/>
  </r>
  <r>
    <s v="TX500452"/>
    <x v="18"/>
    <x v="1"/>
    <n v="36.799999999999997"/>
    <n v="73.599999999999994"/>
    <x v="19"/>
    <d v="2025-01-26T00:00:00"/>
    <s v="F"/>
    <x v="0"/>
    <x v="2"/>
    <x v="0"/>
    <x v="3"/>
    <x v="4"/>
    <x v="3"/>
    <x v="2"/>
  </r>
  <r>
    <s v="TX500453"/>
    <x v="7"/>
    <x v="2"/>
    <n v="33.5"/>
    <n v="100.5"/>
    <x v="19"/>
    <d v="2025-01-21T00:00:00"/>
    <s v="F"/>
    <x v="0"/>
    <x v="1"/>
    <x v="0"/>
    <x v="3"/>
    <x v="3"/>
    <x v="3"/>
    <x v="2"/>
  </r>
  <r>
    <s v="TX500454"/>
    <x v="6"/>
    <x v="13"/>
    <n v="62.5"/>
    <n v="375"/>
    <x v="19"/>
    <d v="2025-01-22T00:00:00"/>
    <s v="F"/>
    <x v="0"/>
    <x v="0"/>
    <x v="0"/>
    <x v="3"/>
    <x v="1"/>
    <x v="3"/>
    <x v="2"/>
  </r>
  <r>
    <s v="TX500455"/>
    <x v="8"/>
    <x v="29"/>
    <n v="47.9"/>
    <n v="1916"/>
    <x v="19"/>
    <d v="2025-01-21T00:00:00"/>
    <s v="F"/>
    <x v="3"/>
    <x v="0"/>
    <x v="0"/>
    <x v="3"/>
    <x v="3"/>
    <x v="3"/>
    <x v="2"/>
  </r>
  <r>
    <s v="TX500456"/>
    <x v="6"/>
    <x v="13"/>
    <n v="92.9"/>
    <n v="557.40000000000009"/>
    <x v="19"/>
    <d v="2025-01-31T00:00:00"/>
    <s v="F"/>
    <x v="0"/>
    <x v="4"/>
    <x v="0"/>
    <x v="3"/>
    <x v="11"/>
    <x v="3"/>
    <x v="2"/>
  </r>
  <r>
    <s v="TX500457"/>
    <x v="12"/>
    <x v="2"/>
    <n v="44.1"/>
    <n v="132.30000000000001"/>
    <x v="19"/>
    <d v="2025-01-20T00:00:00"/>
    <s v="F"/>
    <x v="1"/>
    <x v="1"/>
    <x v="0"/>
    <x v="43"/>
    <x v="7"/>
    <x v="3"/>
    <x v="2"/>
  </r>
  <r>
    <s v="TX500458"/>
    <x v="0"/>
    <x v="0"/>
    <n v="11.4"/>
    <n v="11.4"/>
    <x v="20"/>
    <d v="2025-01-23T00:00:00"/>
    <s v="F"/>
    <x v="2"/>
    <x v="0"/>
    <x v="0"/>
    <x v="5"/>
    <x v="1"/>
    <x v="3"/>
    <x v="2"/>
  </r>
  <r>
    <s v="TX500459"/>
    <x v="6"/>
    <x v="0"/>
    <n v="83.7"/>
    <n v="83.7"/>
    <x v="20"/>
    <d v="2025-01-23T00:00:00"/>
    <s v="F"/>
    <x v="0"/>
    <x v="2"/>
    <x v="0"/>
    <x v="6"/>
    <x v="1"/>
    <x v="3"/>
    <x v="2"/>
  </r>
  <r>
    <s v="TX500460"/>
    <x v="10"/>
    <x v="1"/>
    <n v="23.2"/>
    <n v="46.4"/>
    <x v="20"/>
    <d v="2025-01-22T00:00:00"/>
    <s v="M"/>
    <x v="2"/>
    <x v="0"/>
    <x v="0"/>
    <x v="8"/>
    <x v="3"/>
    <x v="3"/>
    <x v="1"/>
  </r>
  <r>
    <s v="TX500461"/>
    <x v="2"/>
    <x v="0"/>
    <n v="162.1"/>
    <n v="162.1"/>
    <x v="20"/>
    <d v="2025-01-24T00:00:00"/>
    <s v="F"/>
    <x v="0"/>
    <x v="2"/>
    <x v="0"/>
    <x v="9"/>
    <x v="2"/>
    <x v="3"/>
    <x v="2"/>
  </r>
  <r>
    <s v="TX500462"/>
    <x v="6"/>
    <x v="12"/>
    <n v="49.2"/>
    <n v="196.8"/>
    <x v="20"/>
    <d v="2025-01-25T00:00:00"/>
    <s v="M"/>
    <x v="1"/>
    <x v="0"/>
    <x v="0"/>
    <x v="9"/>
    <x v="5"/>
    <x v="3"/>
    <x v="1"/>
  </r>
  <r>
    <s v="TX500463"/>
    <x v="1"/>
    <x v="1"/>
    <n v="61"/>
    <n v="122"/>
    <x v="20"/>
    <d v="2025-01-22T00:00:00"/>
    <s v="M"/>
    <x v="3"/>
    <x v="0"/>
    <x v="0"/>
    <x v="10"/>
    <x v="3"/>
    <x v="3"/>
    <x v="1"/>
  </r>
  <r>
    <s v="TX500464"/>
    <x v="2"/>
    <x v="7"/>
    <n v="53.1"/>
    <n v="531"/>
    <x v="20"/>
    <d v="2025-01-23T00:00:00"/>
    <s v="M"/>
    <x v="0"/>
    <x v="0"/>
    <x v="0"/>
    <x v="11"/>
    <x v="1"/>
    <x v="3"/>
    <x v="1"/>
  </r>
  <r>
    <s v="TX500465"/>
    <x v="4"/>
    <x v="1"/>
    <n v="22.4"/>
    <n v="44.8"/>
    <x v="20"/>
    <d v="2025-01-23T00:00:00"/>
    <s v=""/>
    <x v="1"/>
    <x v="2"/>
    <x v="0"/>
    <x v="13"/>
    <x v="1"/>
    <x v="3"/>
    <x v="0"/>
  </r>
  <r>
    <s v="TX500466"/>
    <x v="1"/>
    <x v="9"/>
    <n v="75.3"/>
    <n v="376.5"/>
    <x v="20"/>
    <d v="2025-01-22T00:00:00"/>
    <s v="M"/>
    <x v="0"/>
    <x v="0"/>
    <x v="0"/>
    <x v="21"/>
    <x v="3"/>
    <x v="3"/>
    <x v="1"/>
  </r>
  <r>
    <s v="TX500467"/>
    <x v="6"/>
    <x v="0"/>
    <n v="48.5"/>
    <n v="48.5"/>
    <x v="20"/>
    <d v="2025-01-22T00:00:00"/>
    <s v="F"/>
    <x v="0"/>
    <x v="1"/>
    <x v="0"/>
    <x v="21"/>
    <x v="3"/>
    <x v="3"/>
    <x v="2"/>
  </r>
  <r>
    <s v="TX500468"/>
    <x v="6"/>
    <x v="0"/>
    <n v="42.6"/>
    <n v="42.6"/>
    <x v="20"/>
    <d v="2025-01-25T00:00:00"/>
    <s v="F"/>
    <x v="3"/>
    <x v="0"/>
    <x v="0"/>
    <x v="1"/>
    <x v="5"/>
    <x v="3"/>
    <x v="2"/>
  </r>
  <r>
    <s v="TX500469"/>
    <x v="5"/>
    <x v="9"/>
    <n v="49"/>
    <n v="245"/>
    <x v="20"/>
    <d v="2025-01-22T00:00:00"/>
    <s v="M"/>
    <x v="0"/>
    <x v="0"/>
    <x v="0"/>
    <x v="22"/>
    <x v="3"/>
    <x v="3"/>
    <x v="1"/>
  </r>
  <r>
    <s v="TX500470"/>
    <x v="8"/>
    <x v="2"/>
    <n v="31.3"/>
    <n v="93.9"/>
    <x v="20"/>
    <d v="2025-01-22T00:00:00"/>
    <s v="M"/>
    <x v="2"/>
    <x v="1"/>
    <x v="0"/>
    <x v="3"/>
    <x v="3"/>
    <x v="3"/>
    <x v="1"/>
  </r>
  <r>
    <s v="TX500471"/>
    <x v="2"/>
    <x v="1"/>
    <n v="85.4"/>
    <n v="170.8"/>
    <x v="20"/>
    <d v="2025-01-22T00:00:00"/>
    <s v="F"/>
    <x v="2"/>
    <x v="0"/>
    <x v="0"/>
    <x v="3"/>
    <x v="3"/>
    <x v="3"/>
    <x v="2"/>
  </r>
  <r>
    <s v="TX500472"/>
    <x v="8"/>
    <x v="12"/>
    <n v="40"/>
    <n v="160"/>
    <x v="20"/>
    <d v="2025-01-22T00:00:00"/>
    <s v="O"/>
    <x v="0"/>
    <x v="2"/>
    <x v="0"/>
    <x v="3"/>
    <x v="3"/>
    <x v="3"/>
    <x v="3"/>
  </r>
  <r>
    <s v="TX500473"/>
    <x v="5"/>
    <x v="1"/>
    <n v="38.5"/>
    <n v="77"/>
    <x v="20"/>
    <d v="2025-01-24T00:00:00"/>
    <s v="M"/>
    <x v="1"/>
    <x v="2"/>
    <x v="0"/>
    <x v="3"/>
    <x v="2"/>
    <x v="3"/>
    <x v="1"/>
  </r>
  <r>
    <s v="TX500474"/>
    <x v="2"/>
    <x v="1"/>
    <n v="57.8"/>
    <n v="115.6"/>
    <x v="20"/>
    <d v="2025-01-22T00:00:00"/>
    <s v=""/>
    <x v="0"/>
    <x v="0"/>
    <x v="0"/>
    <x v="3"/>
    <x v="3"/>
    <x v="3"/>
    <x v="0"/>
  </r>
  <r>
    <s v="TX500475"/>
    <x v="8"/>
    <x v="0"/>
    <n v="19.2"/>
    <n v="19.2"/>
    <x v="20"/>
    <d v="2025-01-22T00:00:00"/>
    <s v="F"/>
    <x v="0"/>
    <x v="4"/>
    <x v="0"/>
    <x v="3"/>
    <x v="3"/>
    <x v="3"/>
    <x v="2"/>
  </r>
  <r>
    <s v="TX500476"/>
    <x v="6"/>
    <x v="13"/>
    <n v="114.8"/>
    <n v="688.8"/>
    <x v="20"/>
    <d v="2025-01-24T00:00:00"/>
    <s v="M"/>
    <x v="1"/>
    <x v="1"/>
    <x v="0"/>
    <x v="3"/>
    <x v="2"/>
    <x v="3"/>
    <x v="1"/>
  </r>
  <r>
    <s v="TX500477"/>
    <x v="10"/>
    <x v="3"/>
    <n v="48.4"/>
    <n v="338.8"/>
    <x v="20"/>
    <d v="2025-01-24T00:00:00"/>
    <s v="F"/>
    <x v="3"/>
    <x v="1"/>
    <x v="0"/>
    <x v="3"/>
    <x v="2"/>
    <x v="3"/>
    <x v="2"/>
  </r>
  <r>
    <s v="TX500478"/>
    <x v="9"/>
    <x v="9"/>
    <n v="73.2"/>
    <n v="366"/>
    <x v="20"/>
    <d v="2025-01-22T00:00:00"/>
    <s v="F"/>
    <x v="1"/>
    <x v="4"/>
    <x v="0"/>
    <x v="3"/>
    <x v="3"/>
    <x v="3"/>
    <x v="2"/>
  </r>
  <r>
    <s v="TX500479"/>
    <x v="15"/>
    <x v="1"/>
    <n v="48.6"/>
    <n v="97.2"/>
    <x v="20"/>
    <d v="2025-01-25T00:00:00"/>
    <s v="F"/>
    <x v="3"/>
    <x v="0"/>
    <x v="0"/>
    <x v="3"/>
    <x v="5"/>
    <x v="3"/>
    <x v="2"/>
  </r>
  <r>
    <s v="TX500480"/>
    <x v="0"/>
    <x v="13"/>
    <n v="48.7"/>
    <n v="292.20000000000005"/>
    <x v="20"/>
    <d v="2025-01-22T00:00:00"/>
    <s v="M"/>
    <x v="0"/>
    <x v="0"/>
    <x v="0"/>
    <x v="3"/>
    <x v="3"/>
    <x v="3"/>
    <x v="1"/>
  </r>
  <r>
    <s v="TX500481"/>
    <x v="4"/>
    <x v="1"/>
    <n v="32.200000000000003"/>
    <n v="64.400000000000006"/>
    <x v="20"/>
    <d v="2025-01-24T00:00:00"/>
    <s v="M"/>
    <x v="2"/>
    <x v="2"/>
    <x v="0"/>
    <x v="3"/>
    <x v="2"/>
    <x v="3"/>
    <x v="1"/>
  </r>
  <r>
    <s v="TX500482"/>
    <x v="15"/>
    <x v="8"/>
    <n v="25.8"/>
    <n v="206.4"/>
    <x v="20"/>
    <d v="2025-01-22T00:00:00"/>
    <s v="M"/>
    <x v="0"/>
    <x v="0"/>
    <x v="0"/>
    <x v="37"/>
    <x v="3"/>
    <x v="3"/>
    <x v="1"/>
  </r>
  <r>
    <s v="TX500483"/>
    <x v="6"/>
    <x v="1"/>
    <n v="94.8"/>
    <n v="189.6"/>
    <x v="21"/>
    <d v="2025-01-25T00:00:00"/>
    <s v="F"/>
    <x v="1"/>
    <x v="1"/>
    <x v="0"/>
    <x v="25"/>
    <x v="2"/>
    <x v="3"/>
    <x v="2"/>
  </r>
  <r>
    <s v="TX500484"/>
    <x v="15"/>
    <x v="30"/>
    <n v="56.8"/>
    <n v="1420"/>
    <x v="21"/>
    <d v="2025-01-25T00:00:00"/>
    <s v="M"/>
    <x v="0"/>
    <x v="0"/>
    <x v="0"/>
    <x v="25"/>
    <x v="2"/>
    <x v="3"/>
    <x v="1"/>
  </r>
  <r>
    <s v="TX500485"/>
    <x v="8"/>
    <x v="27"/>
    <n v="18.3"/>
    <n v="292.8"/>
    <x v="21"/>
    <d v="2025-01-29T00:00:00"/>
    <s v="F"/>
    <x v="2"/>
    <x v="2"/>
    <x v="0"/>
    <x v="23"/>
    <x v="6"/>
    <x v="3"/>
    <x v="2"/>
  </r>
  <r>
    <s v="TX500486"/>
    <x v="0"/>
    <x v="2"/>
    <n v="16.8"/>
    <n v="50.400000000000006"/>
    <x v="21"/>
    <d v="2025-01-27T00:00:00"/>
    <s v="F"/>
    <x v="2"/>
    <x v="2"/>
    <x v="0"/>
    <x v="8"/>
    <x v="0"/>
    <x v="3"/>
    <x v="2"/>
  </r>
  <r>
    <s v="TX500487"/>
    <x v="5"/>
    <x v="5"/>
    <n v="35.799999999999997"/>
    <n v="393.79999999999995"/>
    <x v="21"/>
    <d v="2025-01-23T00:00:00"/>
    <s v="M"/>
    <x v="1"/>
    <x v="0"/>
    <x v="0"/>
    <x v="17"/>
    <x v="3"/>
    <x v="3"/>
    <x v="1"/>
  </r>
  <r>
    <s v="TX500488"/>
    <x v="18"/>
    <x v="0"/>
    <n v="64.900000000000006"/>
    <n v="64.900000000000006"/>
    <x v="21"/>
    <d v="2025-01-23T00:00:00"/>
    <s v="M"/>
    <x v="0"/>
    <x v="1"/>
    <x v="0"/>
    <x v="17"/>
    <x v="3"/>
    <x v="3"/>
    <x v="1"/>
  </r>
  <r>
    <s v="TX500489"/>
    <x v="18"/>
    <x v="0"/>
    <n v="28.5"/>
    <n v="28.5"/>
    <x v="21"/>
    <d v="2025-01-24T00:00:00"/>
    <s v=""/>
    <x v="1"/>
    <x v="0"/>
    <x v="0"/>
    <x v="9"/>
    <x v="1"/>
    <x v="3"/>
    <x v="0"/>
  </r>
  <r>
    <s v="TX500490"/>
    <x v="18"/>
    <x v="1"/>
    <n v="103.5"/>
    <n v="207"/>
    <x v="21"/>
    <d v="2025-01-24T00:00:00"/>
    <s v="F"/>
    <x v="1"/>
    <x v="0"/>
    <x v="0"/>
    <x v="10"/>
    <x v="1"/>
    <x v="3"/>
    <x v="2"/>
  </r>
  <r>
    <s v="TX500491"/>
    <x v="4"/>
    <x v="1"/>
    <n v="41.2"/>
    <n v="82.4"/>
    <x v="21"/>
    <d v="2025-01-23T00:00:00"/>
    <s v="F"/>
    <x v="1"/>
    <x v="0"/>
    <x v="0"/>
    <x v="10"/>
    <x v="3"/>
    <x v="3"/>
    <x v="2"/>
  </r>
  <r>
    <s v="TX500492"/>
    <x v="9"/>
    <x v="0"/>
    <n v="37.799999999999997"/>
    <n v="37.799999999999997"/>
    <x v="21"/>
    <d v="2025-01-24T00:00:00"/>
    <s v="F"/>
    <x v="3"/>
    <x v="3"/>
    <x v="0"/>
    <x v="11"/>
    <x v="1"/>
    <x v="3"/>
    <x v="2"/>
  </r>
  <r>
    <s v="TX500493"/>
    <x v="8"/>
    <x v="1"/>
    <n v="42.6"/>
    <n v="85.2"/>
    <x v="21"/>
    <d v="2025-01-24T00:00:00"/>
    <s v="F"/>
    <x v="4"/>
    <x v="0"/>
    <x v="0"/>
    <x v="11"/>
    <x v="1"/>
    <x v="3"/>
    <x v="2"/>
  </r>
  <r>
    <s v="TX500494"/>
    <x v="8"/>
    <x v="7"/>
    <n v="15.2"/>
    <n v="152"/>
    <x v="21"/>
    <d v="2025-01-24T00:00:00"/>
    <s v="F"/>
    <x v="2"/>
    <x v="0"/>
    <x v="0"/>
    <x v="11"/>
    <x v="1"/>
    <x v="3"/>
    <x v="2"/>
  </r>
  <r>
    <s v="TX500495"/>
    <x v="7"/>
    <x v="12"/>
    <n v="83.4"/>
    <n v="333.6"/>
    <x v="21"/>
    <d v="2025-01-23T00:00:00"/>
    <s v="F"/>
    <x v="2"/>
    <x v="1"/>
    <x v="0"/>
    <x v="18"/>
    <x v="3"/>
    <x v="3"/>
    <x v="2"/>
  </r>
  <r>
    <s v="TX500496"/>
    <x v="19"/>
    <x v="1"/>
    <n v="27.7"/>
    <n v="55.4"/>
    <x v="21"/>
    <d v="2025-01-23T00:00:00"/>
    <s v="F"/>
    <x v="0"/>
    <x v="1"/>
    <x v="0"/>
    <x v="13"/>
    <x v="3"/>
    <x v="3"/>
    <x v="2"/>
  </r>
  <r>
    <s v="TX500497"/>
    <x v="10"/>
    <x v="4"/>
    <n v="20.8"/>
    <n v="249.60000000000002"/>
    <x v="21"/>
    <d v="2025-01-23T00:00:00"/>
    <s v="M"/>
    <x v="3"/>
    <x v="0"/>
    <x v="0"/>
    <x v="13"/>
    <x v="3"/>
    <x v="3"/>
    <x v="1"/>
  </r>
  <r>
    <s v="TX500498"/>
    <x v="11"/>
    <x v="1"/>
    <n v="72.7"/>
    <n v="145.4"/>
    <x v="21"/>
    <d v="2025-01-26T00:00:00"/>
    <s v="F"/>
    <x v="4"/>
    <x v="2"/>
    <x v="0"/>
    <x v="44"/>
    <x v="5"/>
    <x v="3"/>
    <x v="2"/>
  </r>
  <r>
    <s v="TX500499"/>
    <x v="10"/>
    <x v="12"/>
    <n v="38.6"/>
    <n v="154.4"/>
    <x v="21"/>
    <d v="2025-01-23T00:00:00"/>
    <s v="M"/>
    <x v="0"/>
    <x v="2"/>
    <x v="0"/>
    <x v="22"/>
    <x v="3"/>
    <x v="3"/>
    <x v="1"/>
  </r>
  <r>
    <s v="TX500500"/>
    <x v="8"/>
    <x v="3"/>
    <n v="33.1"/>
    <n v="231.70000000000002"/>
    <x v="21"/>
    <d v="2025-01-23T00:00:00"/>
    <s v="O"/>
    <x v="4"/>
    <x v="3"/>
    <x v="0"/>
    <x v="3"/>
    <x v="3"/>
    <x v="3"/>
    <x v="3"/>
  </r>
  <r>
    <s v="TX500501"/>
    <x v="10"/>
    <x v="1"/>
    <n v="30.5"/>
    <n v="61"/>
    <x v="21"/>
    <d v="2025-01-22T00:00:00"/>
    <s v=""/>
    <x v="1"/>
    <x v="1"/>
    <x v="0"/>
    <x v="3"/>
    <x v="7"/>
    <x v="3"/>
    <x v="0"/>
  </r>
  <r>
    <s v="TX500502"/>
    <x v="9"/>
    <x v="1"/>
    <n v="69.599999999999994"/>
    <n v="139.19999999999999"/>
    <x v="21"/>
    <d v="2025-01-23T00:00:00"/>
    <s v="M"/>
    <x v="0"/>
    <x v="1"/>
    <x v="0"/>
    <x v="3"/>
    <x v="3"/>
    <x v="3"/>
    <x v="1"/>
  </r>
  <r>
    <s v="TX500503"/>
    <x v="11"/>
    <x v="0"/>
    <n v="42.4"/>
    <n v="42.4"/>
    <x v="21"/>
    <d v="2025-01-26T00:00:00"/>
    <s v="F"/>
    <x v="1"/>
    <x v="0"/>
    <x v="0"/>
    <x v="3"/>
    <x v="5"/>
    <x v="3"/>
    <x v="2"/>
  </r>
  <r>
    <s v="TX500504"/>
    <x v="17"/>
    <x v="0"/>
    <n v="32.200000000000003"/>
    <n v="32.200000000000003"/>
    <x v="21"/>
    <d v="2025-01-25T00:00:00"/>
    <s v="F"/>
    <x v="2"/>
    <x v="1"/>
    <x v="0"/>
    <x v="3"/>
    <x v="2"/>
    <x v="3"/>
    <x v="2"/>
  </r>
  <r>
    <s v="TX500505"/>
    <x v="6"/>
    <x v="1"/>
    <n v="41.5"/>
    <n v="83"/>
    <x v="21"/>
    <d v="2025-01-25T00:00:00"/>
    <s v="F"/>
    <x v="0"/>
    <x v="2"/>
    <x v="0"/>
    <x v="3"/>
    <x v="2"/>
    <x v="3"/>
    <x v="2"/>
  </r>
  <r>
    <s v="TX500506"/>
    <x v="16"/>
    <x v="11"/>
    <n v="58.9"/>
    <n v="530.1"/>
    <x v="21"/>
    <d v="2025-01-26T00:00:00"/>
    <s v="F"/>
    <x v="3"/>
    <x v="0"/>
    <x v="0"/>
    <x v="3"/>
    <x v="5"/>
    <x v="3"/>
    <x v="2"/>
  </r>
  <r>
    <s v="TX500507"/>
    <x v="2"/>
    <x v="0"/>
    <n v="57.1"/>
    <n v="57.1"/>
    <x v="21"/>
    <d v="2025-01-25T00:00:00"/>
    <s v="F"/>
    <x v="1"/>
    <x v="0"/>
    <x v="0"/>
    <x v="3"/>
    <x v="2"/>
    <x v="3"/>
    <x v="2"/>
  </r>
  <r>
    <s v="TX500508"/>
    <x v="6"/>
    <x v="0"/>
    <n v="57.2"/>
    <n v="57.2"/>
    <x v="21"/>
    <d v="2025-01-24T00:00:00"/>
    <s v="M"/>
    <x v="1"/>
    <x v="0"/>
    <x v="0"/>
    <x v="3"/>
    <x v="1"/>
    <x v="3"/>
    <x v="1"/>
  </r>
  <r>
    <s v="TX500509"/>
    <x v="8"/>
    <x v="1"/>
    <n v="35.1"/>
    <n v="70.2"/>
    <x v="21"/>
    <d v="2025-01-23T00:00:00"/>
    <s v="M"/>
    <x v="1"/>
    <x v="0"/>
    <x v="0"/>
    <x v="6"/>
    <x v="3"/>
    <x v="3"/>
    <x v="1"/>
  </r>
  <r>
    <s v="TX500510"/>
    <x v="1"/>
    <x v="0"/>
    <n v="52.1"/>
    <n v="52.1"/>
    <x v="21"/>
    <d v="2025-01-24T00:00:00"/>
    <s v="F"/>
    <x v="4"/>
    <x v="1"/>
    <x v="0"/>
    <x v="8"/>
    <x v="1"/>
    <x v="3"/>
    <x v="2"/>
  </r>
  <r>
    <s v="TX500511"/>
    <x v="13"/>
    <x v="2"/>
    <n v="59.8"/>
    <n v="179.39999999999998"/>
    <x v="21"/>
    <d v="2025-01-24T00:00:00"/>
    <s v="F"/>
    <x v="4"/>
    <x v="1"/>
    <x v="0"/>
    <x v="8"/>
    <x v="1"/>
    <x v="3"/>
    <x v="2"/>
  </r>
  <r>
    <s v="TX500512"/>
    <x v="3"/>
    <x v="12"/>
    <n v="83.3"/>
    <n v="333.2"/>
    <x v="21"/>
    <d v="2025-01-22T00:00:00"/>
    <s v=""/>
    <x v="2"/>
    <x v="0"/>
    <x v="0"/>
    <x v="8"/>
    <x v="7"/>
    <x v="3"/>
    <x v="0"/>
  </r>
  <r>
    <s v="TX500513"/>
    <x v="15"/>
    <x v="4"/>
    <n v="41.3"/>
    <n v="495.59999999999997"/>
    <x v="21"/>
    <d v="2025-01-23T00:00:00"/>
    <s v="F"/>
    <x v="1"/>
    <x v="0"/>
    <x v="0"/>
    <x v="8"/>
    <x v="3"/>
    <x v="3"/>
    <x v="2"/>
  </r>
  <r>
    <s v="TX500514"/>
    <x v="8"/>
    <x v="9"/>
    <n v="16"/>
    <n v="80"/>
    <x v="21"/>
    <d v="2025-01-24T00:00:00"/>
    <s v="M"/>
    <x v="4"/>
    <x v="1"/>
    <x v="0"/>
    <x v="9"/>
    <x v="1"/>
    <x v="3"/>
    <x v="1"/>
  </r>
  <r>
    <s v="TX500515"/>
    <x v="10"/>
    <x v="1"/>
    <n v="20.8"/>
    <n v="41.6"/>
    <x v="22"/>
    <d v="2025-01-25T00:00:00"/>
    <s v="M"/>
    <x v="0"/>
    <x v="2"/>
    <x v="0"/>
    <x v="11"/>
    <x v="1"/>
    <x v="3"/>
    <x v="1"/>
  </r>
  <r>
    <s v="TX500516"/>
    <x v="8"/>
    <x v="31"/>
    <n v="27.1"/>
    <n v="758.80000000000007"/>
    <x v="22"/>
    <d v="2025-01-24T00:00:00"/>
    <s v=""/>
    <x v="3"/>
    <x v="2"/>
    <x v="0"/>
    <x v="11"/>
    <x v="3"/>
    <x v="3"/>
    <x v="0"/>
  </r>
  <r>
    <s v="TX500517"/>
    <x v="10"/>
    <x v="1"/>
    <n v="38.9"/>
    <n v="77.8"/>
    <x v="22"/>
    <d v="2025-01-25T00:00:00"/>
    <s v="F"/>
    <x v="0"/>
    <x v="0"/>
    <x v="0"/>
    <x v="18"/>
    <x v="1"/>
    <x v="3"/>
    <x v="2"/>
  </r>
  <r>
    <s v="TX500518"/>
    <x v="0"/>
    <x v="1"/>
    <n v="10.8"/>
    <n v="21.6"/>
    <x v="22"/>
    <d v="2025-01-26T00:00:00"/>
    <s v="F"/>
    <x v="1"/>
    <x v="2"/>
    <x v="0"/>
    <x v="45"/>
    <x v="2"/>
    <x v="3"/>
    <x v="2"/>
  </r>
  <r>
    <s v="TX500519"/>
    <x v="4"/>
    <x v="15"/>
    <n v="48.4"/>
    <n v="629.19999999999993"/>
    <x v="22"/>
    <d v="2025-01-27T00:00:00"/>
    <s v="F"/>
    <x v="0"/>
    <x v="0"/>
    <x v="0"/>
    <x v="21"/>
    <x v="5"/>
    <x v="3"/>
    <x v="2"/>
  </r>
  <r>
    <s v="TX500520"/>
    <x v="4"/>
    <x v="2"/>
    <n v="29.2"/>
    <n v="87.6"/>
    <x v="22"/>
    <d v="2025-01-26T00:00:00"/>
    <s v="F"/>
    <x v="1"/>
    <x v="1"/>
    <x v="0"/>
    <x v="2"/>
    <x v="2"/>
    <x v="3"/>
    <x v="2"/>
  </r>
  <r>
    <s v="TX500521"/>
    <x v="4"/>
    <x v="1"/>
    <n v="25.1"/>
    <n v="50.2"/>
    <x v="22"/>
    <d v="2025-01-24T00:00:00"/>
    <s v="M"/>
    <x v="0"/>
    <x v="1"/>
    <x v="0"/>
    <x v="2"/>
    <x v="3"/>
    <x v="3"/>
    <x v="1"/>
  </r>
  <r>
    <s v="TX500522"/>
    <x v="7"/>
    <x v="2"/>
    <n v="65.599999999999994"/>
    <n v="196.79999999999998"/>
    <x v="22"/>
    <d v="2025-01-23T00:00:00"/>
    <s v="F"/>
    <x v="2"/>
    <x v="1"/>
    <x v="0"/>
    <x v="3"/>
    <x v="7"/>
    <x v="3"/>
    <x v="2"/>
  </r>
  <r>
    <s v="TX500523"/>
    <x v="2"/>
    <x v="1"/>
    <n v="57.3"/>
    <n v="114.6"/>
    <x v="22"/>
    <d v="2025-01-23T00:00:00"/>
    <s v=""/>
    <x v="0"/>
    <x v="0"/>
    <x v="0"/>
    <x v="3"/>
    <x v="7"/>
    <x v="3"/>
    <x v="0"/>
  </r>
  <r>
    <s v="TX500524"/>
    <x v="9"/>
    <x v="12"/>
    <n v="22.4"/>
    <n v="89.6"/>
    <x v="22"/>
    <d v="2025-01-24T00:00:00"/>
    <s v="F"/>
    <x v="2"/>
    <x v="2"/>
    <x v="0"/>
    <x v="3"/>
    <x v="3"/>
    <x v="3"/>
    <x v="2"/>
  </r>
  <r>
    <s v="TX500525"/>
    <x v="12"/>
    <x v="11"/>
    <n v="45.7"/>
    <n v="411.3"/>
    <x v="22"/>
    <d v="2025-01-24T00:00:00"/>
    <s v="F"/>
    <x v="0"/>
    <x v="0"/>
    <x v="0"/>
    <x v="3"/>
    <x v="3"/>
    <x v="3"/>
    <x v="2"/>
  </r>
  <r>
    <s v="TX500526"/>
    <x v="8"/>
    <x v="1"/>
    <n v="29.3"/>
    <n v="58.6"/>
    <x v="22"/>
    <d v="2025-01-24T00:00:00"/>
    <s v="M"/>
    <x v="1"/>
    <x v="0"/>
    <x v="0"/>
    <x v="3"/>
    <x v="3"/>
    <x v="3"/>
    <x v="1"/>
  </r>
  <r>
    <s v="TX500527"/>
    <x v="18"/>
    <x v="32"/>
    <n v="74"/>
    <n v="1628"/>
    <x v="22"/>
    <d v="2025-01-24T00:00:00"/>
    <s v="M"/>
    <x v="0"/>
    <x v="2"/>
    <x v="0"/>
    <x v="3"/>
    <x v="3"/>
    <x v="3"/>
    <x v="1"/>
  </r>
  <r>
    <s v="TX500528"/>
    <x v="14"/>
    <x v="1"/>
    <n v="39.200000000000003"/>
    <n v="78.400000000000006"/>
    <x v="22"/>
    <d v="2025-01-25T00:00:00"/>
    <s v="F"/>
    <x v="1"/>
    <x v="0"/>
    <x v="0"/>
    <x v="3"/>
    <x v="1"/>
    <x v="3"/>
    <x v="2"/>
  </r>
  <r>
    <s v="TX500529"/>
    <x v="4"/>
    <x v="14"/>
    <n v="62.7"/>
    <n v="1065.9000000000001"/>
    <x v="22"/>
    <d v="2025-01-24T00:00:00"/>
    <s v="F"/>
    <x v="2"/>
    <x v="1"/>
    <x v="0"/>
    <x v="3"/>
    <x v="3"/>
    <x v="3"/>
    <x v="2"/>
  </r>
  <r>
    <s v="TX500530"/>
    <x v="10"/>
    <x v="1"/>
    <n v="60.1"/>
    <n v="120.2"/>
    <x v="22"/>
    <d v="2025-01-24T00:00:00"/>
    <s v="F"/>
    <x v="3"/>
    <x v="0"/>
    <x v="0"/>
    <x v="3"/>
    <x v="3"/>
    <x v="3"/>
    <x v="2"/>
  </r>
  <r>
    <s v="TX500531"/>
    <x v="0"/>
    <x v="12"/>
    <n v="11.2"/>
    <n v="44.8"/>
    <x v="22"/>
    <d v="2025-01-24T00:00:00"/>
    <s v="F"/>
    <x v="3"/>
    <x v="1"/>
    <x v="0"/>
    <x v="3"/>
    <x v="3"/>
    <x v="3"/>
    <x v="2"/>
  </r>
  <r>
    <s v="TX500532"/>
    <x v="8"/>
    <x v="1"/>
    <n v="22.9"/>
    <n v="45.8"/>
    <x v="22"/>
    <d v="2025-01-24T00:00:00"/>
    <s v="F"/>
    <x v="0"/>
    <x v="0"/>
    <x v="0"/>
    <x v="6"/>
    <x v="3"/>
    <x v="3"/>
    <x v="2"/>
  </r>
  <r>
    <s v="TX500533"/>
    <x v="1"/>
    <x v="1"/>
    <n v="37.6"/>
    <n v="75.2"/>
    <x v="22"/>
    <d v="2025-01-26T00:00:00"/>
    <s v="F"/>
    <x v="0"/>
    <x v="0"/>
    <x v="0"/>
    <x v="6"/>
    <x v="2"/>
    <x v="3"/>
    <x v="2"/>
  </r>
  <r>
    <s v="TX500534"/>
    <x v="6"/>
    <x v="0"/>
    <n v="42.4"/>
    <n v="42.4"/>
    <x v="22"/>
    <d v="2025-01-24T00:00:00"/>
    <s v="F"/>
    <x v="3"/>
    <x v="2"/>
    <x v="0"/>
    <x v="6"/>
    <x v="3"/>
    <x v="3"/>
    <x v="2"/>
  </r>
  <r>
    <s v="TX500535"/>
    <x v="8"/>
    <x v="1"/>
    <n v="19.600000000000001"/>
    <n v="39.200000000000003"/>
    <x v="22"/>
    <d v="2025-01-27T00:00:00"/>
    <s v="F"/>
    <x v="2"/>
    <x v="0"/>
    <x v="0"/>
    <x v="7"/>
    <x v="5"/>
    <x v="3"/>
    <x v="2"/>
  </r>
  <r>
    <s v="TX500536"/>
    <x v="9"/>
    <x v="0"/>
    <n v="90.5"/>
    <n v="90.5"/>
    <x v="22"/>
    <d v="2025-01-26T00:00:00"/>
    <s v="F"/>
    <x v="2"/>
    <x v="0"/>
    <x v="0"/>
    <x v="7"/>
    <x v="2"/>
    <x v="3"/>
    <x v="2"/>
  </r>
  <r>
    <s v="TX500537"/>
    <x v="16"/>
    <x v="5"/>
    <n v="33.9"/>
    <n v="372.9"/>
    <x v="22"/>
    <d v="2025-01-24T00:00:00"/>
    <s v="M"/>
    <x v="2"/>
    <x v="1"/>
    <x v="0"/>
    <x v="7"/>
    <x v="3"/>
    <x v="3"/>
    <x v="1"/>
  </r>
  <r>
    <s v="TX500538"/>
    <x v="0"/>
    <x v="1"/>
    <n v="32.799999999999997"/>
    <n v="65.599999999999994"/>
    <x v="22"/>
    <d v="2025-01-25T00:00:00"/>
    <s v="F"/>
    <x v="4"/>
    <x v="4"/>
    <x v="0"/>
    <x v="8"/>
    <x v="1"/>
    <x v="3"/>
    <x v="2"/>
  </r>
  <r>
    <s v="TX500539"/>
    <x v="15"/>
    <x v="0"/>
    <n v="49.9"/>
    <n v="49.9"/>
    <x v="22"/>
    <d v="2025-01-24T00:00:00"/>
    <s v="M"/>
    <x v="3"/>
    <x v="1"/>
    <x v="0"/>
    <x v="8"/>
    <x v="3"/>
    <x v="3"/>
    <x v="1"/>
  </r>
  <r>
    <s v="TX500540"/>
    <x v="7"/>
    <x v="9"/>
    <n v="79.2"/>
    <n v="396"/>
    <x v="22"/>
    <d v="2025-01-24T00:00:00"/>
    <s v="F"/>
    <x v="4"/>
    <x v="0"/>
    <x v="0"/>
    <x v="8"/>
    <x v="3"/>
    <x v="3"/>
    <x v="2"/>
  </r>
  <r>
    <s v="TX500541"/>
    <x v="8"/>
    <x v="27"/>
    <n v="19.5"/>
    <n v="312"/>
    <x v="22"/>
    <d v="2025-01-25T00:00:00"/>
    <s v="M"/>
    <x v="3"/>
    <x v="2"/>
    <x v="0"/>
    <x v="8"/>
    <x v="1"/>
    <x v="3"/>
    <x v="1"/>
  </r>
  <r>
    <s v="TX500542"/>
    <x v="8"/>
    <x v="12"/>
    <n v="18"/>
    <n v="72"/>
    <x v="22"/>
    <d v="2025-01-24T00:00:00"/>
    <s v="M"/>
    <x v="1"/>
    <x v="0"/>
    <x v="0"/>
    <x v="10"/>
    <x v="3"/>
    <x v="3"/>
    <x v="1"/>
  </r>
  <r>
    <s v="TX500543"/>
    <x v="9"/>
    <x v="2"/>
    <n v="45.9"/>
    <n v="137.69999999999999"/>
    <x v="22"/>
    <d v="2025-01-25T00:00:00"/>
    <s v="F"/>
    <x v="1"/>
    <x v="1"/>
    <x v="0"/>
    <x v="10"/>
    <x v="1"/>
    <x v="3"/>
    <x v="2"/>
  </r>
  <r>
    <s v="TX500544"/>
    <x v="11"/>
    <x v="0"/>
    <n v="41.2"/>
    <n v="41.2"/>
    <x v="22"/>
    <d v="2025-01-25T00:00:00"/>
    <s v="F"/>
    <x v="1"/>
    <x v="2"/>
    <x v="0"/>
    <x v="11"/>
    <x v="1"/>
    <x v="3"/>
    <x v="2"/>
  </r>
  <r>
    <s v="TX500545"/>
    <x v="2"/>
    <x v="7"/>
    <n v="167.2"/>
    <n v="1672"/>
    <x v="22"/>
    <d v="2025-01-25T00:00:00"/>
    <s v="F"/>
    <x v="2"/>
    <x v="2"/>
    <x v="0"/>
    <x v="32"/>
    <x v="1"/>
    <x v="3"/>
    <x v="2"/>
  </r>
  <r>
    <s v="TX500546"/>
    <x v="6"/>
    <x v="17"/>
    <n v="74.5"/>
    <n v="2235"/>
    <x v="23"/>
    <d v="2025-01-27T00:00:00"/>
    <s v="F"/>
    <x v="1"/>
    <x v="2"/>
    <x v="0"/>
    <x v="38"/>
    <x v="2"/>
    <x v="3"/>
    <x v="2"/>
  </r>
  <r>
    <s v="TX500547"/>
    <x v="7"/>
    <x v="12"/>
    <n v="39.299999999999997"/>
    <n v="157.19999999999999"/>
    <x v="23"/>
    <d v="2025-01-25T00:00:00"/>
    <s v=""/>
    <x v="2"/>
    <x v="0"/>
    <x v="0"/>
    <x v="19"/>
    <x v="3"/>
    <x v="3"/>
    <x v="0"/>
  </r>
  <r>
    <s v="TX500548"/>
    <x v="9"/>
    <x v="0"/>
    <n v="68.5"/>
    <n v="68.5"/>
    <x v="23"/>
    <d v="2025-01-27T00:00:00"/>
    <s v="M"/>
    <x v="1"/>
    <x v="2"/>
    <x v="0"/>
    <x v="12"/>
    <x v="2"/>
    <x v="3"/>
    <x v="1"/>
  </r>
  <r>
    <s v="TX500549"/>
    <x v="0"/>
    <x v="2"/>
    <n v="22.5"/>
    <n v="67.5"/>
    <x v="23"/>
    <d v="2025-01-24T00:00:00"/>
    <s v="F"/>
    <x v="4"/>
    <x v="0"/>
    <x v="0"/>
    <x v="13"/>
    <x v="7"/>
    <x v="3"/>
    <x v="2"/>
  </r>
  <r>
    <s v="TX500550"/>
    <x v="1"/>
    <x v="0"/>
    <n v="48"/>
    <n v="48"/>
    <x v="23"/>
    <d v="2025-01-25T00:00:00"/>
    <s v="O"/>
    <x v="4"/>
    <x v="1"/>
    <x v="0"/>
    <x v="46"/>
    <x v="3"/>
    <x v="3"/>
    <x v="3"/>
  </r>
  <r>
    <s v="TX500551"/>
    <x v="6"/>
    <x v="0"/>
    <n v="94"/>
    <n v="94"/>
    <x v="23"/>
    <d v="2025-01-25T00:00:00"/>
    <s v="M"/>
    <x v="3"/>
    <x v="1"/>
    <x v="0"/>
    <x v="1"/>
    <x v="3"/>
    <x v="3"/>
    <x v="1"/>
  </r>
  <r>
    <s v="TX500552"/>
    <x v="8"/>
    <x v="2"/>
    <n v="21.9"/>
    <n v="65.699999999999989"/>
    <x v="23"/>
    <d v="2025-01-25T00:00:00"/>
    <s v="F"/>
    <x v="0"/>
    <x v="0"/>
    <x v="0"/>
    <x v="44"/>
    <x v="3"/>
    <x v="3"/>
    <x v="2"/>
  </r>
  <r>
    <s v="TX500553"/>
    <x v="6"/>
    <x v="3"/>
    <n v="64.900000000000006"/>
    <n v="454.30000000000007"/>
    <x v="23"/>
    <d v="2025-01-25T00:00:00"/>
    <s v="F"/>
    <x v="0"/>
    <x v="0"/>
    <x v="0"/>
    <x v="3"/>
    <x v="3"/>
    <x v="3"/>
    <x v="2"/>
  </r>
  <r>
    <s v="TX500554"/>
    <x v="12"/>
    <x v="0"/>
    <n v="52.9"/>
    <n v="52.9"/>
    <x v="23"/>
    <d v="2025-01-24T00:00:00"/>
    <s v="F"/>
    <x v="1"/>
    <x v="1"/>
    <x v="0"/>
    <x v="3"/>
    <x v="7"/>
    <x v="3"/>
    <x v="2"/>
  </r>
  <r>
    <s v="TX500555"/>
    <x v="8"/>
    <x v="2"/>
    <n v="25.5"/>
    <n v="76.5"/>
    <x v="23"/>
    <d v="2025-01-25T00:00:00"/>
    <s v="F"/>
    <x v="1"/>
    <x v="2"/>
    <x v="0"/>
    <x v="3"/>
    <x v="3"/>
    <x v="3"/>
    <x v="2"/>
  </r>
  <r>
    <s v="TX500556"/>
    <x v="6"/>
    <x v="2"/>
    <n v="51.9"/>
    <n v="155.69999999999999"/>
    <x v="23"/>
    <d v="2025-01-25T00:00:00"/>
    <s v="F"/>
    <x v="3"/>
    <x v="0"/>
    <x v="0"/>
    <x v="3"/>
    <x v="3"/>
    <x v="3"/>
    <x v="2"/>
  </r>
  <r>
    <s v="TX500557"/>
    <x v="5"/>
    <x v="0"/>
    <n v="46.3"/>
    <n v="46.3"/>
    <x v="23"/>
    <d v="2025-01-27T00:00:00"/>
    <s v="F"/>
    <x v="4"/>
    <x v="0"/>
    <x v="0"/>
    <x v="3"/>
    <x v="2"/>
    <x v="3"/>
    <x v="2"/>
  </r>
  <r>
    <s v="TX500558"/>
    <x v="6"/>
    <x v="1"/>
    <n v="68.2"/>
    <n v="136.4"/>
    <x v="23"/>
    <d v="2025-01-26T00:00:00"/>
    <s v="F"/>
    <x v="3"/>
    <x v="0"/>
    <x v="0"/>
    <x v="3"/>
    <x v="1"/>
    <x v="3"/>
    <x v="2"/>
  </r>
  <r>
    <s v="TX500559"/>
    <x v="1"/>
    <x v="0"/>
    <n v="40.299999999999997"/>
    <n v="40.299999999999997"/>
    <x v="23"/>
    <d v="2025-01-25T00:00:00"/>
    <s v="M"/>
    <x v="0"/>
    <x v="1"/>
    <x v="0"/>
    <x v="3"/>
    <x v="3"/>
    <x v="3"/>
    <x v="1"/>
  </r>
  <r>
    <s v="TX500560"/>
    <x v="2"/>
    <x v="2"/>
    <n v="91.3"/>
    <n v="273.89999999999998"/>
    <x v="23"/>
    <d v="2025-01-29T00:00:00"/>
    <s v="M"/>
    <x v="0"/>
    <x v="2"/>
    <x v="0"/>
    <x v="6"/>
    <x v="0"/>
    <x v="3"/>
    <x v="1"/>
  </r>
  <r>
    <s v="TX500561"/>
    <x v="0"/>
    <x v="2"/>
    <n v="11.9"/>
    <n v="35.700000000000003"/>
    <x v="23"/>
    <d v="2025-01-25T00:00:00"/>
    <s v="F"/>
    <x v="0"/>
    <x v="1"/>
    <x v="0"/>
    <x v="6"/>
    <x v="3"/>
    <x v="3"/>
    <x v="2"/>
  </r>
  <r>
    <s v="TX500562"/>
    <x v="2"/>
    <x v="1"/>
    <n v="63.5"/>
    <n v="127"/>
    <x v="23"/>
    <d v="2025-01-26T00:00:00"/>
    <s v="M"/>
    <x v="1"/>
    <x v="0"/>
    <x v="0"/>
    <x v="6"/>
    <x v="1"/>
    <x v="3"/>
    <x v="1"/>
  </r>
  <r>
    <s v="TX500563"/>
    <x v="4"/>
    <x v="1"/>
    <n v="27.1"/>
    <n v="54.2"/>
    <x v="23"/>
    <d v="2025-01-27T00:00:00"/>
    <s v="M"/>
    <x v="2"/>
    <x v="2"/>
    <x v="0"/>
    <x v="6"/>
    <x v="2"/>
    <x v="3"/>
    <x v="1"/>
  </r>
  <r>
    <s v="TX500564"/>
    <x v="1"/>
    <x v="1"/>
    <n v="82.1"/>
    <n v="164.2"/>
    <x v="24"/>
    <d v="2025-01-28T00:00:00"/>
    <s v="M"/>
    <x v="1"/>
    <x v="1"/>
    <x v="0"/>
    <x v="7"/>
    <x v="2"/>
    <x v="3"/>
    <x v="1"/>
  </r>
  <r>
    <s v="TX500565"/>
    <x v="3"/>
    <x v="9"/>
    <n v="42.9"/>
    <n v="214.5"/>
    <x v="24"/>
    <d v="2025-01-27T00:00:00"/>
    <s v="F"/>
    <x v="1"/>
    <x v="0"/>
    <x v="0"/>
    <x v="8"/>
    <x v="1"/>
    <x v="3"/>
    <x v="2"/>
  </r>
  <r>
    <s v="TX500566"/>
    <x v="8"/>
    <x v="5"/>
    <n v="37.9"/>
    <n v="416.9"/>
    <x v="24"/>
    <d v="2025-02-01T00:00:00"/>
    <s v="M"/>
    <x v="0"/>
    <x v="0"/>
    <x v="0"/>
    <x v="8"/>
    <x v="6"/>
    <x v="3"/>
    <x v="1"/>
  </r>
  <r>
    <s v="TX500567"/>
    <x v="0"/>
    <x v="0"/>
    <n v="22.4"/>
    <n v="22.4"/>
    <x v="24"/>
    <d v="2025-01-26T00:00:00"/>
    <s v="F"/>
    <x v="0"/>
    <x v="1"/>
    <x v="0"/>
    <x v="17"/>
    <x v="3"/>
    <x v="3"/>
    <x v="2"/>
  </r>
  <r>
    <s v="TX500568"/>
    <x v="2"/>
    <x v="15"/>
    <n v="79.900000000000006"/>
    <n v="1038.7"/>
    <x v="24"/>
    <d v="2025-02-07T00:00:00"/>
    <s v="F"/>
    <x v="3"/>
    <x v="1"/>
    <x v="0"/>
    <x v="11"/>
    <x v="10"/>
    <x v="3"/>
    <x v="2"/>
  </r>
  <r>
    <s v="TX500569"/>
    <x v="1"/>
    <x v="0"/>
    <n v="70.599999999999994"/>
    <n v="70.599999999999994"/>
    <x v="24"/>
    <d v="2025-01-28T00:00:00"/>
    <s v="F"/>
    <x v="0"/>
    <x v="1"/>
    <x v="0"/>
    <x v="11"/>
    <x v="2"/>
    <x v="3"/>
    <x v="2"/>
  </r>
  <r>
    <s v="TX500570"/>
    <x v="6"/>
    <x v="0"/>
    <n v="49.5"/>
    <n v="49.5"/>
    <x v="24"/>
    <d v="2025-01-27T00:00:00"/>
    <s v="M"/>
    <x v="0"/>
    <x v="0"/>
    <x v="0"/>
    <x v="13"/>
    <x v="1"/>
    <x v="3"/>
    <x v="1"/>
  </r>
  <r>
    <s v="TX500571"/>
    <x v="2"/>
    <x v="1"/>
    <n v="96.6"/>
    <n v="193.2"/>
    <x v="24"/>
    <d v="2025-01-27T00:00:00"/>
    <s v="M"/>
    <x v="0"/>
    <x v="0"/>
    <x v="0"/>
    <x v="21"/>
    <x v="1"/>
    <x v="3"/>
    <x v="1"/>
  </r>
  <r>
    <s v="TX500572"/>
    <x v="6"/>
    <x v="1"/>
    <n v="52.8"/>
    <n v="105.6"/>
    <x v="24"/>
    <d v="2025-01-26T00:00:00"/>
    <s v="F"/>
    <x v="1"/>
    <x v="1"/>
    <x v="0"/>
    <x v="21"/>
    <x v="3"/>
    <x v="3"/>
    <x v="2"/>
  </r>
  <r>
    <s v="TX500573"/>
    <x v="2"/>
    <x v="0"/>
    <n v="101.7"/>
    <n v="101.7"/>
    <x v="24"/>
    <d v="2025-01-26T00:00:00"/>
    <s v="M"/>
    <x v="0"/>
    <x v="0"/>
    <x v="0"/>
    <x v="1"/>
    <x v="3"/>
    <x v="3"/>
    <x v="1"/>
  </r>
  <r>
    <s v="TX500574"/>
    <x v="4"/>
    <x v="9"/>
    <n v="26.9"/>
    <n v="134.5"/>
    <x v="24"/>
    <d v="2025-01-30T00:00:00"/>
    <s v="F"/>
    <x v="1"/>
    <x v="1"/>
    <x v="0"/>
    <x v="22"/>
    <x v="0"/>
    <x v="3"/>
    <x v="2"/>
  </r>
  <r>
    <s v="TX500575"/>
    <x v="2"/>
    <x v="12"/>
    <n v="211"/>
    <n v="844"/>
    <x v="24"/>
    <d v="2025-01-25T00:00:00"/>
    <s v="F"/>
    <x v="1"/>
    <x v="1"/>
    <x v="0"/>
    <x v="3"/>
    <x v="7"/>
    <x v="3"/>
    <x v="2"/>
  </r>
  <r>
    <s v="TX500576"/>
    <x v="0"/>
    <x v="12"/>
    <n v="21.1"/>
    <n v="84.4"/>
    <x v="24"/>
    <d v="2025-01-28T00:00:00"/>
    <s v="M"/>
    <x v="4"/>
    <x v="0"/>
    <x v="0"/>
    <x v="3"/>
    <x v="2"/>
    <x v="3"/>
    <x v="1"/>
  </r>
  <r>
    <s v="TX500577"/>
    <x v="10"/>
    <x v="0"/>
    <n v="26.6"/>
    <n v="26.6"/>
    <x v="24"/>
    <d v="2025-01-27T00:00:00"/>
    <s v="M"/>
    <x v="0"/>
    <x v="4"/>
    <x v="0"/>
    <x v="3"/>
    <x v="1"/>
    <x v="3"/>
    <x v="1"/>
  </r>
  <r>
    <s v="TX500578"/>
    <x v="12"/>
    <x v="12"/>
    <n v="51.2"/>
    <n v="204.8"/>
    <x v="24"/>
    <d v="2025-01-26T00:00:00"/>
    <s v="F"/>
    <x v="3"/>
    <x v="0"/>
    <x v="0"/>
    <x v="47"/>
    <x v="3"/>
    <x v="3"/>
    <x v="2"/>
  </r>
  <r>
    <s v="TX500579"/>
    <x v="0"/>
    <x v="9"/>
    <n v="10.6"/>
    <n v="53"/>
    <x v="24"/>
    <d v="2025-01-29T00:00:00"/>
    <s v="F"/>
    <x v="0"/>
    <x v="0"/>
    <x v="0"/>
    <x v="8"/>
    <x v="5"/>
    <x v="3"/>
    <x v="2"/>
  </r>
  <r>
    <s v="TX500580"/>
    <x v="6"/>
    <x v="2"/>
    <n v="43.4"/>
    <n v="130.19999999999999"/>
    <x v="24"/>
    <d v="2025-01-28T00:00:00"/>
    <s v="F"/>
    <x v="4"/>
    <x v="0"/>
    <x v="0"/>
    <x v="8"/>
    <x v="2"/>
    <x v="3"/>
    <x v="2"/>
  </r>
  <r>
    <s v="TX500581"/>
    <x v="12"/>
    <x v="0"/>
    <n v="80"/>
    <n v="80"/>
    <x v="24"/>
    <d v="2025-01-25T00:00:00"/>
    <s v="F"/>
    <x v="0"/>
    <x v="2"/>
    <x v="0"/>
    <x v="8"/>
    <x v="7"/>
    <x v="3"/>
    <x v="2"/>
  </r>
  <r>
    <s v="TX500582"/>
    <x v="10"/>
    <x v="12"/>
    <n v="64.7"/>
    <n v="258.8"/>
    <x v="24"/>
    <d v="2025-01-27T00:00:00"/>
    <s v="F"/>
    <x v="1"/>
    <x v="4"/>
    <x v="0"/>
    <x v="8"/>
    <x v="1"/>
    <x v="3"/>
    <x v="2"/>
  </r>
  <r>
    <s v="TX500583"/>
    <x v="8"/>
    <x v="5"/>
    <n v="26.3"/>
    <n v="289.3"/>
    <x v="25"/>
    <d v="2025-01-26T00:00:00"/>
    <s v="F"/>
    <x v="4"/>
    <x v="1"/>
    <x v="0"/>
    <x v="26"/>
    <x v="7"/>
    <x v="4"/>
    <x v="2"/>
  </r>
  <r>
    <s v="TX500584"/>
    <x v="10"/>
    <x v="0"/>
    <n v="28.5"/>
    <n v="28.5"/>
    <x v="25"/>
    <d v="2025-01-26T00:00:00"/>
    <s v="M"/>
    <x v="0"/>
    <x v="1"/>
    <x v="0"/>
    <x v="9"/>
    <x v="7"/>
    <x v="4"/>
    <x v="1"/>
  </r>
  <r>
    <s v="TX500585"/>
    <x v="17"/>
    <x v="0"/>
    <n v="47.8"/>
    <n v="47.8"/>
    <x v="25"/>
    <d v="2025-01-28T00:00:00"/>
    <s v="F"/>
    <x v="0"/>
    <x v="1"/>
    <x v="0"/>
    <x v="9"/>
    <x v="1"/>
    <x v="4"/>
    <x v="2"/>
  </r>
  <r>
    <s v="TX500586"/>
    <x v="10"/>
    <x v="2"/>
    <n v="42.8"/>
    <n v="128.39999999999998"/>
    <x v="25"/>
    <d v="2025-01-29T00:00:00"/>
    <s v="F"/>
    <x v="4"/>
    <x v="1"/>
    <x v="0"/>
    <x v="11"/>
    <x v="2"/>
    <x v="4"/>
    <x v="2"/>
  </r>
  <r>
    <s v="TX500587"/>
    <x v="6"/>
    <x v="9"/>
    <n v="46.8"/>
    <n v="234"/>
    <x v="25"/>
    <d v="2025-01-31T00:00:00"/>
    <s v="F"/>
    <x v="1"/>
    <x v="2"/>
    <x v="0"/>
    <x v="11"/>
    <x v="0"/>
    <x v="4"/>
    <x v="2"/>
  </r>
  <r>
    <s v="TX500588"/>
    <x v="1"/>
    <x v="7"/>
    <n v="64.099999999999994"/>
    <n v="641"/>
    <x v="25"/>
    <d v="2025-01-27T00:00:00"/>
    <s v="M"/>
    <x v="1"/>
    <x v="0"/>
    <x v="0"/>
    <x v="11"/>
    <x v="3"/>
    <x v="4"/>
    <x v="1"/>
  </r>
  <r>
    <s v="TX500589"/>
    <x v="2"/>
    <x v="0"/>
    <n v="89.1"/>
    <n v="89.1"/>
    <x v="25"/>
    <d v="2025-01-27T00:00:00"/>
    <s v="F"/>
    <x v="0"/>
    <x v="1"/>
    <x v="0"/>
    <x v="20"/>
    <x v="3"/>
    <x v="4"/>
    <x v="2"/>
  </r>
  <r>
    <s v="TX500590"/>
    <x v="2"/>
    <x v="2"/>
    <n v="83.1"/>
    <n v="249.29999999999998"/>
    <x v="25"/>
    <d v="2025-01-27T00:00:00"/>
    <s v="F"/>
    <x v="2"/>
    <x v="1"/>
    <x v="0"/>
    <x v="13"/>
    <x v="3"/>
    <x v="4"/>
    <x v="2"/>
  </r>
  <r>
    <s v="TX500591"/>
    <x v="8"/>
    <x v="2"/>
    <n v="40.9"/>
    <n v="122.69999999999999"/>
    <x v="25"/>
    <d v="2025-01-27T00:00:00"/>
    <s v="M"/>
    <x v="0"/>
    <x v="0"/>
    <x v="0"/>
    <x v="1"/>
    <x v="3"/>
    <x v="4"/>
    <x v="1"/>
  </r>
  <r>
    <s v="TX500592"/>
    <x v="2"/>
    <x v="1"/>
    <n v="125.7"/>
    <n v="251.4"/>
    <x v="25"/>
    <d v="2025-01-27T00:00:00"/>
    <s v="F"/>
    <x v="3"/>
    <x v="0"/>
    <x v="0"/>
    <x v="2"/>
    <x v="3"/>
    <x v="4"/>
    <x v="2"/>
  </r>
  <r>
    <s v="TX500593"/>
    <x v="3"/>
    <x v="1"/>
    <n v="30.9"/>
    <n v="61.8"/>
    <x v="25"/>
    <d v="2025-01-26T00:00:00"/>
    <s v="F"/>
    <x v="2"/>
    <x v="2"/>
    <x v="0"/>
    <x v="22"/>
    <x v="7"/>
    <x v="4"/>
    <x v="2"/>
  </r>
  <r>
    <s v="TX500594"/>
    <x v="8"/>
    <x v="1"/>
    <n v="18.3"/>
    <n v="36.6"/>
    <x v="25"/>
    <d v="2025-01-27T00:00:00"/>
    <s v="F"/>
    <x v="1"/>
    <x v="0"/>
    <x v="0"/>
    <x v="3"/>
    <x v="3"/>
    <x v="4"/>
    <x v="2"/>
  </r>
  <r>
    <s v="TX500595"/>
    <x v="4"/>
    <x v="1"/>
    <n v="56.5"/>
    <n v="113"/>
    <x v="25"/>
    <d v="2025-01-30T00:00:00"/>
    <s v="M"/>
    <x v="2"/>
    <x v="2"/>
    <x v="0"/>
    <x v="3"/>
    <x v="5"/>
    <x v="4"/>
    <x v="1"/>
  </r>
  <r>
    <s v="TX500596"/>
    <x v="10"/>
    <x v="3"/>
    <n v="29.9"/>
    <n v="209.29999999999998"/>
    <x v="25"/>
    <d v="2025-01-28T00:00:00"/>
    <s v="M"/>
    <x v="4"/>
    <x v="2"/>
    <x v="0"/>
    <x v="3"/>
    <x v="1"/>
    <x v="4"/>
    <x v="1"/>
  </r>
  <r>
    <s v="TX500597"/>
    <x v="5"/>
    <x v="1"/>
    <n v="50.4"/>
    <n v="100.8"/>
    <x v="25"/>
    <d v="2025-01-27T00:00:00"/>
    <s v="F"/>
    <x v="2"/>
    <x v="0"/>
    <x v="0"/>
    <x v="3"/>
    <x v="3"/>
    <x v="4"/>
    <x v="2"/>
  </r>
  <r>
    <s v="TX500598"/>
    <x v="2"/>
    <x v="0"/>
    <n v="85.8"/>
    <n v="85.8"/>
    <x v="25"/>
    <d v="2025-01-26T00:00:00"/>
    <s v="F"/>
    <x v="2"/>
    <x v="2"/>
    <x v="0"/>
    <x v="3"/>
    <x v="7"/>
    <x v="4"/>
    <x v="2"/>
  </r>
  <r>
    <s v="TX500599"/>
    <x v="4"/>
    <x v="27"/>
    <n v="66.599999999999994"/>
    <n v="1065.5999999999999"/>
    <x v="25"/>
    <d v="2025-01-28T00:00:00"/>
    <s v="M"/>
    <x v="1"/>
    <x v="0"/>
    <x v="0"/>
    <x v="3"/>
    <x v="1"/>
    <x v="4"/>
    <x v="1"/>
  </r>
  <r>
    <s v="TX500600"/>
    <x v="6"/>
    <x v="12"/>
    <n v="70.3"/>
    <n v="281.2"/>
    <x v="25"/>
    <d v="2025-01-27T00:00:00"/>
    <s v="F"/>
    <x v="0"/>
    <x v="1"/>
    <x v="0"/>
    <x v="3"/>
    <x v="3"/>
    <x v="4"/>
    <x v="2"/>
  </r>
  <r>
    <s v="TX500601"/>
    <x v="8"/>
    <x v="12"/>
    <n v="31"/>
    <n v="124"/>
    <x v="25"/>
    <d v="2025-01-29T00:00:00"/>
    <s v="M"/>
    <x v="0"/>
    <x v="2"/>
    <x v="0"/>
    <x v="3"/>
    <x v="2"/>
    <x v="4"/>
    <x v="1"/>
  </r>
  <r>
    <s v="TX500602"/>
    <x v="7"/>
    <x v="13"/>
    <n v="81.599999999999994"/>
    <n v="489.59999999999997"/>
    <x v="25"/>
    <d v="2025-01-27T00:00:00"/>
    <s v="F"/>
    <x v="1"/>
    <x v="1"/>
    <x v="0"/>
    <x v="37"/>
    <x v="3"/>
    <x v="4"/>
    <x v="2"/>
  </r>
  <r>
    <s v="TX500603"/>
    <x v="1"/>
    <x v="30"/>
    <n v="58.3"/>
    <n v="1457.5"/>
    <x v="25"/>
    <d v="2025-01-27T00:00:00"/>
    <s v="F"/>
    <x v="0"/>
    <x v="0"/>
    <x v="0"/>
    <x v="16"/>
    <x v="3"/>
    <x v="4"/>
    <x v="2"/>
  </r>
  <r>
    <s v="TX500604"/>
    <x v="1"/>
    <x v="12"/>
    <n v="35.1"/>
    <n v="140.4"/>
    <x v="25"/>
    <d v="2025-01-28T00:00:00"/>
    <s v="M"/>
    <x v="0"/>
    <x v="2"/>
    <x v="0"/>
    <x v="8"/>
    <x v="1"/>
    <x v="4"/>
    <x v="1"/>
  </r>
  <r>
    <s v="TX500605"/>
    <x v="2"/>
    <x v="0"/>
    <n v="80.2"/>
    <n v="80.2"/>
    <x v="25"/>
    <d v="2025-01-27T00:00:00"/>
    <s v="M"/>
    <x v="3"/>
    <x v="2"/>
    <x v="0"/>
    <x v="8"/>
    <x v="3"/>
    <x v="4"/>
    <x v="1"/>
  </r>
  <r>
    <s v="TX500606"/>
    <x v="14"/>
    <x v="2"/>
    <n v="39.200000000000003"/>
    <n v="117.60000000000001"/>
    <x v="25"/>
    <d v="2025-01-28T00:00:00"/>
    <s v="F"/>
    <x v="1"/>
    <x v="0"/>
    <x v="0"/>
    <x v="9"/>
    <x v="1"/>
    <x v="4"/>
    <x v="2"/>
  </r>
  <r>
    <s v="TX500607"/>
    <x v="0"/>
    <x v="1"/>
    <n v="15.4"/>
    <n v="30.8"/>
    <x v="25"/>
    <d v="2025-01-26T00:00:00"/>
    <s v="F"/>
    <x v="3"/>
    <x v="0"/>
    <x v="0"/>
    <x v="48"/>
    <x v="7"/>
    <x v="4"/>
    <x v="2"/>
  </r>
  <r>
    <s v="TX500608"/>
    <x v="3"/>
    <x v="2"/>
    <n v="65.400000000000006"/>
    <n v="196.20000000000002"/>
    <x v="25"/>
    <d v="2025-01-29T00:00:00"/>
    <s v="M"/>
    <x v="3"/>
    <x v="0"/>
    <x v="0"/>
    <x v="18"/>
    <x v="2"/>
    <x v="4"/>
    <x v="1"/>
  </r>
  <r>
    <s v="TX500609"/>
    <x v="1"/>
    <x v="8"/>
    <n v="63.2"/>
    <n v="505.6"/>
    <x v="25"/>
    <d v="2025-01-28T00:00:00"/>
    <s v="F"/>
    <x v="1"/>
    <x v="0"/>
    <x v="0"/>
    <x v="19"/>
    <x v="1"/>
    <x v="4"/>
    <x v="2"/>
  </r>
  <r>
    <s v="TX500610"/>
    <x v="1"/>
    <x v="13"/>
    <n v="35.700000000000003"/>
    <n v="214.20000000000002"/>
    <x v="25"/>
    <d v="2025-01-30T00:00:00"/>
    <s v="F"/>
    <x v="4"/>
    <x v="1"/>
    <x v="0"/>
    <x v="19"/>
    <x v="5"/>
    <x v="4"/>
    <x v="2"/>
  </r>
  <r>
    <s v="TX500611"/>
    <x v="0"/>
    <x v="28"/>
    <n v="26.2"/>
    <n v="524"/>
    <x v="25"/>
    <d v="2025-01-27T00:00:00"/>
    <s v="F"/>
    <x v="3"/>
    <x v="0"/>
    <x v="0"/>
    <x v="21"/>
    <x v="3"/>
    <x v="4"/>
    <x v="2"/>
  </r>
  <r>
    <s v="TX500612"/>
    <x v="7"/>
    <x v="1"/>
    <n v="31"/>
    <n v="62"/>
    <x v="25"/>
    <d v="2025-01-27T00:00:00"/>
    <s v="F"/>
    <x v="0"/>
    <x v="2"/>
    <x v="0"/>
    <x v="1"/>
    <x v="3"/>
    <x v="4"/>
    <x v="2"/>
  </r>
  <r>
    <s v="TX500613"/>
    <x v="8"/>
    <x v="12"/>
    <n v="37.700000000000003"/>
    <n v="150.80000000000001"/>
    <x v="25"/>
    <d v="2025-01-27T00:00:00"/>
    <s v="F"/>
    <x v="1"/>
    <x v="0"/>
    <x v="0"/>
    <x v="22"/>
    <x v="3"/>
    <x v="4"/>
    <x v="2"/>
  </r>
  <r>
    <s v="TX500614"/>
    <x v="10"/>
    <x v="33"/>
    <n v="43.6"/>
    <n v="1482.4"/>
    <x v="25"/>
    <d v="2025-01-28T00:00:00"/>
    <s v="F"/>
    <x v="4"/>
    <x v="1"/>
    <x v="0"/>
    <x v="3"/>
    <x v="1"/>
    <x v="4"/>
    <x v="2"/>
  </r>
  <r>
    <s v="TX500615"/>
    <x v="9"/>
    <x v="12"/>
    <n v="26.5"/>
    <n v="106"/>
    <x v="25"/>
    <d v="2025-01-28T00:00:00"/>
    <s v="M"/>
    <x v="0"/>
    <x v="4"/>
    <x v="0"/>
    <x v="3"/>
    <x v="1"/>
    <x v="4"/>
    <x v="1"/>
  </r>
  <r>
    <s v="TX500616"/>
    <x v="0"/>
    <x v="1"/>
    <n v="34.6"/>
    <n v="69.2"/>
    <x v="25"/>
    <d v="2025-01-27T00:00:00"/>
    <s v="M"/>
    <x v="4"/>
    <x v="1"/>
    <x v="0"/>
    <x v="3"/>
    <x v="3"/>
    <x v="4"/>
    <x v="1"/>
  </r>
  <r>
    <s v="TX500617"/>
    <x v="8"/>
    <x v="1"/>
    <n v="58.2"/>
    <n v="116.4"/>
    <x v="25"/>
    <d v="2025-01-27T00:00:00"/>
    <s v="M"/>
    <x v="2"/>
    <x v="2"/>
    <x v="0"/>
    <x v="3"/>
    <x v="3"/>
    <x v="4"/>
    <x v="1"/>
  </r>
  <r>
    <s v="TX500618"/>
    <x v="7"/>
    <x v="0"/>
    <n v="30.2"/>
    <n v="30.2"/>
    <x v="26"/>
    <d v="2025-01-28T00:00:00"/>
    <s v="F"/>
    <x v="2"/>
    <x v="1"/>
    <x v="0"/>
    <x v="3"/>
    <x v="3"/>
    <x v="4"/>
    <x v="2"/>
  </r>
  <r>
    <s v="TX500619"/>
    <x v="1"/>
    <x v="7"/>
    <n v="53.2"/>
    <n v="532"/>
    <x v="26"/>
    <d v="2025-01-28T00:00:00"/>
    <s v="M"/>
    <x v="0"/>
    <x v="2"/>
    <x v="0"/>
    <x v="5"/>
    <x v="3"/>
    <x v="4"/>
    <x v="1"/>
  </r>
  <r>
    <s v="TX500620"/>
    <x v="12"/>
    <x v="13"/>
    <n v="51.1"/>
    <n v="306.60000000000002"/>
    <x v="26"/>
    <d v="2025-01-27T00:00:00"/>
    <s v="M"/>
    <x v="1"/>
    <x v="2"/>
    <x v="0"/>
    <x v="5"/>
    <x v="7"/>
    <x v="4"/>
    <x v="1"/>
  </r>
  <r>
    <s v="TX500621"/>
    <x v="1"/>
    <x v="0"/>
    <n v="105.4"/>
    <n v="105.4"/>
    <x v="26"/>
    <d v="2025-01-31T00:00:00"/>
    <s v="F"/>
    <x v="1"/>
    <x v="2"/>
    <x v="0"/>
    <x v="23"/>
    <x v="5"/>
    <x v="4"/>
    <x v="2"/>
  </r>
  <r>
    <s v="TX500622"/>
    <x v="7"/>
    <x v="0"/>
    <n v="57.7"/>
    <n v="57.7"/>
    <x v="26"/>
    <d v="2025-01-27T00:00:00"/>
    <s v="M"/>
    <x v="0"/>
    <x v="4"/>
    <x v="0"/>
    <x v="8"/>
    <x v="7"/>
    <x v="4"/>
    <x v="1"/>
  </r>
  <r>
    <s v="TX500623"/>
    <x v="15"/>
    <x v="1"/>
    <n v="72.400000000000006"/>
    <n v="144.80000000000001"/>
    <x v="26"/>
    <d v="2025-02-01T00:00:00"/>
    <s v="F"/>
    <x v="0"/>
    <x v="0"/>
    <x v="0"/>
    <x v="17"/>
    <x v="0"/>
    <x v="4"/>
    <x v="2"/>
  </r>
  <r>
    <s v="TX500624"/>
    <x v="6"/>
    <x v="1"/>
    <n v="62.5"/>
    <n v="125"/>
    <x v="26"/>
    <d v="2025-01-28T00:00:00"/>
    <s v=""/>
    <x v="0"/>
    <x v="2"/>
    <x v="0"/>
    <x v="11"/>
    <x v="3"/>
    <x v="4"/>
    <x v="0"/>
  </r>
  <r>
    <s v="TX500625"/>
    <x v="0"/>
    <x v="32"/>
    <n v="11.6"/>
    <n v="255.2"/>
    <x v="26"/>
    <d v="2025-01-29T00:00:00"/>
    <s v="F"/>
    <x v="3"/>
    <x v="2"/>
    <x v="0"/>
    <x v="18"/>
    <x v="1"/>
    <x v="4"/>
    <x v="2"/>
  </r>
  <r>
    <s v="TX500626"/>
    <x v="10"/>
    <x v="7"/>
    <n v="39.6"/>
    <n v="396"/>
    <x v="26"/>
    <d v="2025-01-29T00:00:00"/>
    <s v="F"/>
    <x v="2"/>
    <x v="2"/>
    <x v="0"/>
    <x v="18"/>
    <x v="1"/>
    <x v="4"/>
    <x v="2"/>
  </r>
  <r>
    <s v="TX500627"/>
    <x v="8"/>
    <x v="1"/>
    <n v="40.1"/>
    <n v="80.2"/>
    <x v="26"/>
    <d v="2025-01-28T00:00:00"/>
    <s v="F"/>
    <x v="2"/>
    <x v="0"/>
    <x v="0"/>
    <x v="18"/>
    <x v="3"/>
    <x v="4"/>
    <x v="2"/>
  </r>
  <r>
    <s v="TX500628"/>
    <x v="8"/>
    <x v="2"/>
    <n v="18.600000000000001"/>
    <n v="55.800000000000004"/>
    <x v="26"/>
    <d v="2025-01-28T00:00:00"/>
    <s v="F"/>
    <x v="2"/>
    <x v="0"/>
    <x v="0"/>
    <x v="21"/>
    <x v="3"/>
    <x v="4"/>
    <x v="2"/>
  </r>
  <r>
    <s v="TX500629"/>
    <x v="4"/>
    <x v="0"/>
    <n v="58.8"/>
    <n v="58.8"/>
    <x v="26"/>
    <d v="2025-01-29T00:00:00"/>
    <s v="F"/>
    <x v="0"/>
    <x v="1"/>
    <x v="0"/>
    <x v="21"/>
    <x v="1"/>
    <x v="4"/>
    <x v="2"/>
  </r>
  <r>
    <s v="TX500630"/>
    <x v="8"/>
    <x v="1"/>
    <n v="22.1"/>
    <n v="44.2"/>
    <x v="26"/>
    <d v="2025-01-30T00:00:00"/>
    <s v="M"/>
    <x v="1"/>
    <x v="2"/>
    <x v="0"/>
    <x v="21"/>
    <x v="2"/>
    <x v="4"/>
    <x v="1"/>
  </r>
  <r>
    <s v="TX500631"/>
    <x v="2"/>
    <x v="0"/>
    <n v="114.9"/>
    <n v="114.9"/>
    <x v="27"/>
    <d v="2025-01-29T00:00:00"/>
    <s v="F"/>
    <x v="1"/>
    <x v="1"/>
    <x v="0"/>
    <x v="22"/>
    <x v="3"/>
    <x v="4"/>
    <x v="2"/>
  </r>
  <r>
    <s v="TX500632"/>
    <x v="9"/>
    <x v="9"/>
    <n v="75.8"/>
    <n v="379"/>
    <x v="27"/>
    <d v="2025-01-29T00:00:00"/>
    <s v="M"/>
    <x v="0"/>
    <x v="2"/>
    <x v="0"/>
    <x v="3"/>
    <x v="3"/>
    <x v="4"/>
    <x v="1"/>
  </r>
  <r>
    <s v="TX500633"/>
    <x v="14"/>
    <x v="9"/>
    <n v="20.6"/>
    <n v="103"/>
    <x v="27"/>
    <d v="2025-01-29T00:00:00"/>
    <s v="M"/>
    <x v="2"/>
    <x v="2"/>
    <x v="0"/>
    <x v="3"/>
    <x v="3"/>
    <x v="4"/>
    <x v="1"/>
  </r>
  <r>
    <s v="TX500634"/>
    <x v="17"/>
    <x v="2"/>
    <n v="67.900000000000006"/>
    <n v="203.70000000000002"/>
    <x v="27"/>
    <d v="2025-01-29T00:00:00"/>
    <s v="F"/>
    <x v="1"/>
    <x v="1"/>
    <x v="0"/>
    <x v="3"/>
    <x v="3"/>
    <x v="4"/>
    <x v="2"/>
  </r>
  <r>
    <s v="TX500635"/>
    <x v="0"/>
    <x v="9"/>
    <n v="27"/>
    <n v="135"/>
    <x v="27"/>
    <d v="2025-02-04T00:00:00"/>
    <s v="F"/>
    <x v="0"/>
    <x v="2"/>
    <x v="0"/>
    <x v="3"/>
    <x v="6"/>
    <x v="4"/>
    <x v="2"/>
  </r>
  <r>
    <s v="TX500636"/>
    <x v="13"/>
    <x v="0"/>
    <n v="50.6"/>
    <n v="50.6"/>
    <x v="27"/>
    <d v="2025-01-28T00:00:00"/>
    <s v="M"/>
    <x v="0"/>
    <x v="1"/>
    <x v="0"/>
    <x v="3"/>
    <x v="7"/>
    <x v="4"/>
    <x v="1"/>
  </r>
  <r>
    <s v="TX500637"/>
    <x v="4"/>
    <x v="9"/>
    <n v="22.1"/>
    <n v="110.5"/>
    <x v="27"/>
    <d v="2025-02-02T00:00:00"/>
    <s v="M"/>
    <x v="0"/>
    <x v="0"/>
    <x v="0"/>
    <x v="3"/>
    <x v="0"/>
    <x v="4"/>
    <x v="1"/>
  </r>
  <r>
    <s v="TX500638"/>
    <x v="8"/>
    <x v="2"/>
    <n v="42.9"/>
    <n v="128.69999999999999"/>
    <x v="27"/>
    <d v="2025-01-30T00:00:00"/>
    <s v="F"/>
    <x v="0"/>
    <x v="0"/>
    <x v="0"/>
    <x v="3"/>
    <x v="1"/>
    <x v="4"/>
    <x v="2"/>
  </r>
  <r>
    <s v="TX500639"/>
    <x v="1"/>
    <x v="5"/>
    <n v="62.4"/>
    <n v="686.4"/>
    <x v="27"/>
    <d v="2025-01-30T00:00:00"/>
    <s v="F"/>
    <x v="2"/>
    <x v="0"/>
    <x v="0"/>
    <x v="3"/>
    <x v="1"/>
    <x v="4"/>
    <x v="2"/>
  </r>
  <r>
    <s v="TX500640"/>
    <x v="13"/>
    <x v="11"/>
    <n v="36.4"/>
    <n v="327.59999999999997"/>
    <x v="27"/>
    <d v="2025-01-30T00:00:00"/>
    <s v="F"/>
    <x v="0"/>
    <x v="2"/>
    <x v="0"/>
    <x v="3"/>
    <x v="1"/>
    <x v="4"/>
    <x v="2"/>
  </r>
  <r>
    <s v="TX500641"/>
    <x v="0"/>
    <x v="1"/>
    <n v="22.5"/>
    <n v="45"/>
    <x v="27"/>
    <d v="2025-01-31T00:00:00"/>
    <s v="M"/>
    <x v="0"/>
    <x v="0"/>
    <x v="0"/>
    <x v="3"/>
    <x v="2"/>
    <x v="4"/>
    <x v="1"/>
  </r>
  <r>
    <s v="TX500642"/>
    <x v="6"/>
    <x v="12"/>
    <n v="70.8"/>
    <n v="283.2"/>
    <x v="27"/>
    <d v="2025-01-30T00:00:00"/>
    <s v="F"/>
    <x v="4"/>
    <x v="0"/>
    <x v="0"/>
    <x v="3"/>
    <x v="1"/>
    <x v="4"/>
    <x v="2"/>
  </r>
  <r>
    <s v="TX500643"/>
    <x v="6"/>
    <x v="9"/>
    <n v="56.6"/>
    <n v="283"/>
    <x v="27"/>
    <d v="2025-01-30T00:00:00"/>
    <s v="M"/>
    <x v="0"/>
    <x v="1"/>
    <x v="0"/>
    <x v="4"/>
    <x v="1"/>
    <x v="4"/>
    <x v="1"/>
  </r>
  <r>
    <s v="TX500644"/>
    <x v="6"/>
    <x v="1"/>
    <n v="47.9"/>
    <n v="95.8"/>
    <x v="27"/>
    <d v="2025-01-29T00:00:00"/>
    <s v="F"/>
    <x v="0"/>
    <x v="0"/>
    <x v="0"/>
    <x v="6"/>
    <x v="3"/>
    <x v="4"/>
    <x v="2"/>
  </r>
  <r>
    <s v="TX500645"/>
    <x v="6"/>
    <x v="8"/>
    <n v="78.400000000000006"/>
    <n v="627.20000000000005"/>
    <x v="27"/>
    <d v="2025-01-30T00:00:00"/>
    <s v="F"/>
    <x v="1"/>
    <x v="0"/>
    <x v="0"/>
    <x v="6"/>
    <x v="1"/>
    <x v="4"/>
    <x v="2"/>
  </r>
  <r>
    <s v="TX500646"/>
    <x v="2"/>
    <x v="21"/>
    <n v="122.1"/>
    <n v="1709.3999999999999"/>
    <x v="27"/>
    <d v="2025-02-02T00:00:00"/>
    <s v="F"/>
    <x v="0"/>
    <x v="2"/>
    <x v="0"/>
    <x v="6"/>
    <x v="0"/>
    <x v="4"/>
    <x v="2"/>
  </r>
  <r>
    <s v="TX500647"/>
    <x v="2"/>
    <x v="1"/>
    <n v="83.7"/>
    <n v="167.4"/>
    <x v="28"/>
    <d v="2025-01-29T00:00:00"/>
    <s v=""/>
    <x v="1"/>
    <x v="2"/>
    <x v="0"/>
    <x v="7"/>
    <x v="7"/>
    <x v="4"/>
    <x v="0"/>
  </r>
  <r>
    <s v="TX500648"/>
    <x v="3"/>
    <x v="12"/>
    <n v="97.9"/>
    <n v="391.6"/>
    <x v="28"/>
    <d v="2025-02-02T00:00:00"/>
    <s v="F"/>
    <x v="3"/>
    <x v="2"/>
    <x v="0"/>
    <x v="7"/>
    <x v="5"/>
    <x v="4"/>
    <x v="2"/>
  </r>
  <r>
    <s v="TX500649"/>
    <x v="14"/>
    <x v="0"/>
    <n v="15"/>
    <n v="15"/>
    <x v="28"/>
    <d v="2025-02-03T00:00:00"/>
    <s v="F"/>
    <x v="3"/>
    <x v="0"/>
    <x v="0"/>
    <x v="8"/>
    <x v="0"/>
    <x v="4"/>
    <x v="2"/>
  </r>
  <r>
    <s v="TX500650"/>
    <x v="12"/>
    <x v="2"/>
    <n v="94.6"/>
    <n v="283.79999999999995"/>
    <x v="28"/>
    <d v="2025-01-30T00:00:00"/>
    <s v="M"/>
    <x v="2"/>
    <x v="1"/>
    <x v="0"/>
    <x v="8"/>
    <x v="3"/>
    <x v="4"/>
    <x v="1"/>
  </r>
  <r>
    <s v="TX500651"/>
    <x v="0"/>
    <x v="13"/>
    <n v="19.7"/>
    <n v="118.19999999999999"/>
    <x v="28"/>
    <d v="2025-02-09T00:00:00"/>
    <s v="F"/>
    <x v="0"/>
    <x v="2"/>
    <x v="0"/>
    <x v="8"/>
    <x v="11"/>
    <x v="4"/>
    <x v="2"/>
  </r>
  <r>
    <s v="TX500652"/>
    <x v="7"/>
    <x v="0"/>
    <n v="46.7"/>
    <n v="46.7"/>
    <x v="28"/>
    <d v="2025-02-01T00:00:00"/>
    <s v="F"/>
    <x v="2"/>
    <x v="0"/>
    <x v="0"/>
    <x v="17"/>
    <x v="2"/>
    <x v="4"/>
    <x v="2"/>
  </r>
  <r>
    <s v="TX500653"/>
    <x v="1"/>
    <x v="12"/>
    <n v="43"/>
    <n v="172"/>
    <x v="28"/>
    <d v="2025-01-30T00:00:00"/>
    <s v="M"/>
    <x v="2"/>
    <x v="2"/>
    <x v="0"/>
    <x v="17"/>
    <x v="3"/>
    <x v="4"/>
    <x v="1"/>
  </r>
  <r>
    <s v="TX500654"/>
    <x v="6"/>
    <x v="2"/>
    <n v="68.2"/>
    <n v="204.60000000000002"/>
    <x v="28"/>
    <d v="2025-02-04T00:00:00"/>
    <s v="F"/>
    <x v="0"/>
    <x v="0"/>
    <x v="0"/>
    <x v="9"/>
    <x v="4"/>
    <x v="4"/>
    <x v="2"/>
  </r>
  <r>
    <s v="TX500655"/>
    <x v="10"/>
    <x v="7"/>
    <n v="24.3"/>
    <n v="243"/>
    <x v="28"/>
    <d v="2025-01-30T00:00:00"/>
    <s v="M"/>
    <x v="0"/>
    <x v="2"/>
    <x v="0"/>
    <x v="10"/>
    <x v="3"/>
    <x v="4"/>
    <x v="1"/>
  </r>
  <r>
    <s v="TX500656"/>
    <x v="7"/>
    <x v="1"/>
    <n v="86.8"/>
    <n v="173.6"/>
    <x v="28"/>
    <d v="2025-02-02T00:00:00"/>
    <s v="F"/>
    <x v="4"/>
    <x v="2"/>
    <x v="0"/>
    <x v="11"/>
    <x v="5"/>
    <x v="4"/>
    <x v="2"/>
  </r>
  <r>
    <s v="TX500657"/>
    <x v="0"/>
    <x v="1"/>
    <n v="15.8"/>
    <n v="31.6"/>
    <x v="28"/>
    <d v="2025-01-31T00:00:00"/>
    <s v="M"/>
    <x v="1"/>
    <x v="0"/>
    <x v="0"/>
    <x v="11"/>
    <x v="1"/>
    <x v="4"/>
    <x v="1"/>
  </r>
  <r>
    <s v="TX500658"/>
    <x v="2"/>
    <x v="12"/>
    <n v="61.6"/>
    <n v="246.4"/>
    <x v="28"/>
    <d v="2025-01-30T00:00:00"/>
    <s v="M"/>
    <x v="2"/>
    <x v="0"/>
    <x v="0"/>
    <x v="11"/>
    <x v="3"/>
    <x v="4"/>
    <x v="1"/>
  </r>
  <r>
    <s v="TX500659"/>
    <x v="6"/>
    <x v="2"/>
    <n v="48.7"/>
    <n v="146.10000000000002"/>
    <x v="28"/>
    <d v="2025-02-04T00:00:00"/>
    <s v="F"/>
    <x v="1"/>
    <x v="2"/>
    <x v="0"/>
    <x v="45"/>
    <x v="4"/>
    <x v="4"/>
    <x v="2"/>
  </r>
  <r>
    <s v="TX500660"/>
    <x v="8"/>
    <x v="12"/>
    <n v="24.3"/>
    <n v="97.2"/>
    <x v="28"/>
    <d v="2025-01-31T00:00:00"/>
    <s v="F"/>
    <x v="1"/>
    <x v="2"/>
    <x v="0"/>
    <x v="21"/>
    <x v="1"/>
    <x v="4"/>
    <x v="2"/>
  </r>
  <r>
    <s v="TX500661"/>
    <x v="2"/>
    <x v="1"/>
    <n v="130.69999999999999"/>
    <n v="261.39999999999998"/>
    <x v="28"/>
    <d v="2025-01-30T00:00:00"/>
    <s v="F"/>
    <x v="2"/>
    <x v="0"/>
    <x v="0"/>
    <x v="44"/>
    <x v="3"/>
    <x v="4"/>
    <x v="2"/>
  </r>
  <r>
    <s v="TX500662"/>
    <x v="10"/>
    <x v="0"/>
    <n v="26"/>
    <n v="26"/>
    <x v="28"/>
    <d v="2025-01-31T00:00:00"/>
    <s v="M"/>
    <x v="0"/>
    <x v="0"/>
    <x v="0"/>
    <x v="3"/>
    <x v="1"/>
    <x v="4"/>
    <x v="1"/>
  </r>
  <r>
    <s v="TX500663"/>
    <x v="2"/>
    <x v="9"/>
    <n v="94.4"/>
    <n v="472"/>
    <x v="28"/>
    <d v="2025-01-30T00:00:00"/>
    <s v="F"/>
    <x v="0"/>
    <x v="0"/>
    <x v="0"/>
    <x v="3"/>
    <x v="3"/>
    <x v="4"/>
    <x v="2"/>
  </r>
  <r>
    <s v="TX500664"/>
    <x v="0"/>
    <x v="13"/>
    <n v="23.7"/>
    <n v="142.19999999999999"/>
    <x v="28"/>
    <d v="2025-01-31T00:00:00"/>
    <s v="M"/>
    <x v="2"/>
    <x v="2"/>
    <x v="0"/>
    <x v="3"/>
    <x v="1"/>
    <x v="4"/>
    <x v="1"/>
  </r>
  <r>
    <s v="TX500665"/>
    <x v="9"/>
    <x v="4"/>
    <n v="37.4"/>
    <n v="448.79999999999995"/>
    <x v="28"/>
    <d v="2025-01-31T00:00:00"/>
    <s v="M"/>
    <x v="2"/>
    <x v="0"/>
    <x v="0"/>
    <x v="3"/>
    <x v="1"/>
    <x v="4"/>
    <x v="1"/>
  </r>
  <r>
    <s v="TX500666"/>
    <x v="1"/>
    <x v="34"/>
    <n v="55.2"/>
    <n v="1987.2"/>
    <x v="28"/>
    <d v="2025-01-29T00:00:00"/>
    <s v="F"/>
    <x v="3"/>
    <x v="1"/>
    <x v="0"/>
    <x v="3"/>
    <x v="7"/>
    <x v="4"/>
    <x v="2"/>
  </r>
  <r>
    <s v="TX500667"/>
    <x v="2"/>
    <x v="11"/>
    <n v="57.1"/>
    <n v="513.9"/>
    <x v="28"/>
    <d v="2025-01-31T00:00:00"/>
    <s v="M"/>
    <x v="0"/>
    <x v="2"/>
    <x v="0"/>
    <x v="3"/>
    <x v="1"/>
    <x v="4"/>
    <x v="1"/>
  </r>
  <r>
    <s v="TX500668"/>
    <x v="12"/>
    <x v="0"/>
    <n v="55.3"/>
    <n v="55.3"/>
    <x v="28"/>
    <d v="2025-01-30T00:00:00"/>
    <s v="F"/>
    <x v="2"/>
    <x v="2"/>
    <x v="0"/>
    <x v="3"/>
    <x v="3"/>
    <x v="4"/>
    <x v="2"/>
  </r>
  <r>
    <s v="TX500669"/>
    <x v="15"/>
    <x v="3"/>
    <n v="23.9"/>
    <n v="167.29999999999998"/>
    <x v="28"/>
    <d v="2025-01-30T00:00:00"/>
    <s v="F"/>
    <x v="4"/>
    <x v="1"/>
    <x v="0"/>
    <x v="3"/>
    <x v="3"/>
    <x v="4"/>
    <x v="2"/>
  </r>
  <r>
    <s v="TX500670"/>
    <x v="0"/>
    <x v="0"/>
    <n v="34.1"/>
    <n v="34.1"/>
    <x v="28"/>
    <d v="2025-02-05T00:00:00"/>
    <s v="F"/>
    <x v="2"/>
    <x v="0"/>
    <x v="0"/>
    <x v="3"/>
    <x v="6"/>
    <x v="4"/>
    <x v="2"/>
  </r>
  <r>
    <s v="TX500671"/>
    <x v="12"/>
    <x v="12"/>
    <n v="38.5"/>
    <n v="154"/>
    <x v="28"/>
    <d v="2025-02-09T00:00:00"/>
    <s v="F"/>
    <x v="0"/>
    <x v="0"/>
    <x v="0"/>
    <x v="3"/>
    <x v="11"/>
    <x v="4"/>
    <x v="2"/>
  </r>
  <r>
    <s v="TX500672"/>
    <x v="7"/>
    <x v="1"/>
    <n v="105"/>
    <n v="210"/>
    <x v="28"/>
    <d v="2025-02-04T00:00:00"/>
    <s v="F"/>
    <x v="0"/>
    <x v="2"/>
    <x v="0"/>
    <x v="3"/>
    <x v="4"/>
    <x v="4"/>
    <x v="2"/>
  </r>
  <r>
    <s v="TX500673"/>
    <x v="8"/>
    <x v="9"/>
    <n v="45.2"/>
    <n v="226"/>
    <x v="28"/>
    <d v="2025-01-31T00:00:00"/>
    <s v="F"/>
    <x v="0"/>
    <x v="2"/>
    <x v="0"/>
    <x v="3"/>
    <x v="1"/>
    <x v="4"/>
    <x v="2"/>
  </r>
  <r>
    <s v="TX500674"/>
    <x v="17"/>
    <x v="2"/>
    <n v="24.8"/>
    <n v="74.400000000000006"/>
    <x v="28"/>
    <d v="2025-01-29T00:00:00"/>
    <s v=""/>
    <x v="0"/>
    <x v="1"/>
    <x v="0"/>
    <x v="3"/>
    <x v="7"/>
    <x v="4"/>
    <x v="0"/>
  </r>
  <r>
    <s v="TX500675"/>
    <x v="11"/>
    <x v="12"/>
    <n v="43.8"/>
    <n v="175.2"/>
    <x v="28"/>
    <d v="2025-02-05T00:00:00"/>
    <s v="F"/>
    <x v="1"/>
    <x v="2"/>
    <x v="0"/>
    <x v="6"/>
    <x v="6"/>
    <x v="4"/>
    <x v="2"/>
  </r>
  <r>
    <s v="TX500676"/>
    <x v="1"/>
    <x v="0"/>
    <n v="75"/>
    <n v="75"/>
    <x v="28"/>
    <d v="2025-01-31T00:00:00"/>
    <s v="F"/>
    <x v="4"/>
    <x v="1"/>
    <x v="0"/>
    <x v="6"/>
    <x v="1"/>
    <x v="4"/>
    <x v="2"/>
  </r>
  <r>
    <s v="TX500677"/>
    <x v="2"/>
    <x v="0"/>
    <n v="169.9"/>
    <n v="169.9"/>
    <x v="28"/>
    <d v="2025-01-30T00:00:00"/>
    <s v="M"/>
    <x v="2"/>
    <x v="0"/>
    <x v="0"/>
    <x v="6"/>
    <x v="3"/>
    <x v="4"/>
    <x v="1"/>
  </r>
  <r>
    <s v="TX500678"/>
    <x v="9"/>
    <x v="1"/>
    <n v="72.2"/>
    <n v="144.4"/>
    <x v="28"/>
    <d v="2025-01-31T00:00:00"/>
    <s v="F"/>
    <x v="4"/>
    <x v="1"/>
    <x v="0"/>
    <x v="6"/>
    <x v="1"/>
    <x v="4"/>
    <x v="2"/>
  </r>
  <r>
    <s v="TX500679"/>
    <x v="0"/>
    <x v="0"/>
    <n v="20"/>
    <n v="20"/>
    <x v="29"/>
    <d v="2025-02-02T00:00:00"/>
    <s v="F"/>
    <x v="2"/>
    <x v="1"/>
    <x v="0"/>
    <x v="7"/>
    <x v="2"/>
    <x v="4"/>
    <x v="2"/>
  </r>
  <r>
    <s v="TX500680"/>
    <x v="9"/>
    <x v="1"/>
    <n v="40.799999999999997"/>
    <n v="81.599999999999994"/>
    <x v="29"/>
    <d v="2025-02-01T00:00:00"/>
    <s v="F"/>
    <x v="3"/>
    <x v="2"/>
    <x v="0"/>
    <x v="8"/>
    <x v="1"/>
    <x v="4"/>
    <x v="2"/>
  </r>
  <r>
    <s v="TX500681"/>
    <x v="10"/>
    <x v="12"/>
    <n v="58"/>
    <n v="232"/>
    <x v="29"/>
    <d v="2025-02-03T00:00:00"/>
    <s v="F"/>
    <x v="0"/>
    <x v="0"/>
    <x v="0"/>
    <x v="8"/>
    <x v="5"/>
    <x v="4"/>
    <x v="2"/>
  </r>
  <r>
    <s v="TX500682"/>
    <x v="12"/>
    <x v="1"/>
    <n v="43.1"/>
    <n v="86.2"/>
    <x v="29"/>
    <d v="2025-01-31T00:00:00"/>
    <s v="F"/>
    <x v="1"/>
    <x v="2"/>
    <x v="0"/>
    <x v="8"/>
    <x v="3"/>
    <x v="4"/>
    <x v="2"/>
  </r>
  <r>
    <s v="TX500683"/>
    <x v="6"/>
    <x v="11"/>
    <n v="74.7"/>
    <n v="672.30000000000007"/>
    <x v="29"/>
    <d v="2025-02-01T00:00:00"/>
    <s v="M"/>
    <x v="0"/>
    <x v="2"/>
    <x v="0"/>
    <x v="8"/>
    <x v="1"/>
    <x v="4"/>
    <x v="1"/>
  </r>
  <r>
    <s v="TX500684"/>
    <x v="6"/>
    <x v="0"/>
    <n v="128.19999999999999"/>
    <n v="128.19999999999999"/>
    <x v="29"/>
    <d v="2025-01-30T00:00:00"/>
    <s v="M"/>
    <x v="1"/>
    <x v="0"/>
    <x v="0"/>
    <x v="8"/>
    <x v="7"/>
    <x v="4"/>
    <x v="1"/>
  </r>
  <r>
    <s v="TX500685"/>
    <x v="14"/>
    <x v="12"/>
    <n v="26.7"/>
    <n v="106.8"/>
    <x v="29"/>
    <d v="2025-01-31T00:00:00"/>
    <s v="M"/>
    <x v="1"/>
    <x v="0"/>
    <x v="0"/>
    <x v="8"/>
    <x v="3"/>
    <x v="4"/>
    <x v="1"/>
  </r>
  <r>
    <s v="TX500686"/>
    <x v="17"/>
    <x v="13"/>
    <n v="31.5"/>
    <n v="189"/>
    <x v="29"/>
    <d v="2025-01-31T00:00:00"/>
    <s v="F"/>
    <x v="2"/>
    <x v="0"/>
    <x v="0"/>
    <x v="17"/>
    <x v="3"/>
    <x v="4"/>
    <x v="2"/>
  </r>
  <r>
    <s v="TX500687"/>
    <x v="3"/>
    <x v="3"/>
    <n v="64.7"/>
    <n v="452.90000000000003"/>
    <x v="29"/>
    <d v="2025-01-31T00:00:00"/>
    <s v="F"/>
    <x v="0"/>
    <x v="2"/>
    <x v="0"/>
    <x v="9"/>
    <x v="3"/>
    <x v="4"/>
    <x v="2"/>
  </r>
  <r>
    <s v="TX500688"/>
    <x v="5"/>
    <x v="1"/>
    <n v="55.6"/>
    <n v="111.2"/>
    <x v="29"/>
    <d v="2025-02-02T00:00:00"/>
    <s v="F"/>
    <x v="3"/>
    <x v="0"/>
    <x v="0"/>
    <x v="11"/>
    <x v="2"/>
    <x v="4"/>
    <x v="2"/>
  </r>
  <r>
    <s v="TX500689"/>
    <x v="3"/>
    <x v="1"/>
    <n v="36.200000000000003"/>
    <n v="72.400000000000006"/>
    <x v="29"/>
    <d v="2025-01-31T00:00:00"/>
    <s v="F"/>
    <x v="3"/>
    <x v="0"/>
    <x v="0"/>
    <x v="11"/>
    <x v="3"/>
    <x v="4"/>
    <x v="2"/>
  </r>
  <r>
    <s v="TX500690"/>
    <x v="0"/>
    <x v="0"/>
    <n v="26.6"/>
    <n v="26.6"/>
    <x v="29"/>
    <d v="2025-01-31T00:00:00"/>
    <s v=""/>
    <x v="1"/>
    <x v="1"/>
    <x v="0"/>
    <x v="19"/>
    <x v="3"/>
    <x v="4"/>
    <x v="0"/>
  </r>
  <r>
    <s v="TX500691"/>
    <x v="10"/>
    <x v="12"/>
    <n v="31.5"/>
    <n v="126"/>
    <x v="29"/>
    <d v="2025-02-01T00:00:00"/>
    <s v="M"/>
    <x v="0"/>
    <x v="0"/>
    <x v="0"/>
    <x v="31"/>
    <x v="1"/>
    <x v="4"/>
    <x v="1"/>
  </r>
  <r>
    <s v="TX500692"/>
    <x v="10"/>
    <x v="0"/>
    <n v="27"/>
    <n v="27"/>
    <x v="29"/>
    <d v="2025-02-01T00:00:00"/>
    <s v="F"/>
    <x v="1"/>
    <x v="2"/>
    <x v="0"/>
    <x v="13"/>
    <x v="1"/>
    <x v="4"/>
    <x v="2"/>
  </r>
  <r>
    <s v="TX500693"/>
    <x v="4"/>
    <x v="0"/>
    <n v="32"/>
    <n v="32"/>
    <x v="29"/>
    <d v="2025-02-02T00:00:00"/>
    <s v="M"/>
    <x v="3"/>
    <x v="0"/>
    <x v="0"/>
    <x v="21"/>
    <x v="2"/>
    <x v="4"/>
    <x v="1"/>
  </r>
  <r>
    <s v="TX500694"/>
    <x v="1"/>
    <x v="2"/>
    <n v="48.1"/>
    <n v="144.30000000000001"/>
    <x v="29"/>
    <d v="2025-02-01T00:00:00"/>
    <s v="M"/>
    <x v="2"/>
    <x v="1"/>
    <x v="0"/>
    <x v="1"/>
    <x v="1"/>
    <x v="4"/>
    <x v="1"/>
  </r>
  <r>
    <s v="TX500695"/>
    <x v="9"/>
    <x v="1"/>
    <n v="43.4"/>
    <n v="86.8"/>
    <x v="29"/>
    <d v="2025-01-31T00:00:00"/>
    <s v="M"/>
    <x v="1"/>
    <x v="1"/>
    <x v="0"/>
    <x v="22"/>
    <x v="3"/>
    <x v="4"/>
    <x v="1"/>
  </r>
  <r>
    <s v="TX500696"/>
    <x v="6"/>
    <x v="1"/>
    <n v="42.6"/>
    <n v="85.2"/>
    <x v="29"/>
    <d v="2025-02-02T00:00:00"/>
    <s v="F"/>
    <x v="3"/>
    <x v="0"/>
    <x v="0"/>
    <x v="22"/>
    <x v="2"/>
    <x v="4"/>
    <x v="2"/>
  </r>
  <r>
    <s v="TX500697"/>
    <x v="8"/>
    <x v="1"/>
    <n v="15.9"/>
    <n v="31.8"/>
    <x v="29"/>
    <d v="2025-01-31T00:00:00"/>
    <s v="F"/>
    <x v="0"/>
    <x v="0"/>
    <x v="0"/>
    <x v="34"/>
    <x v="3"/>
    <x v="4"/>
    <x v="2"/>
  </r>
  <r>
    <s v="TX500698"/>
    <x v="9"/>
    <x v="1"/>
    <n v="63.2"/>
    <n v="126.4"/>
    <x v="29"/>
    <d v="2025-01-31T00:00:00"/>
    <s v="M"/>
    <x v="1"/>
    <x v="0"/>
    <x v="0"/>
    <x v="3"/>
    <x v="3"/>
    <x v="4"/>
    <x v="1"/>
  </r>
  <r>
    <s v="TX500699"/>
    <x v="7"/>
    <x v="12"/>
    <n v="64.8"/>
    <n v="259.2"/>
    <x v="29"/>
    <d v="2025-02-01T00:00:00"/>
    <s v=""/>
    <x v="4"/>
    <x v="1"/>
    <x v="0"/>
    <x v="3"/>
    <x v="1"/>
    <x v="4"/>
    <x v="0"/>
  </r>
  <r>
    <s v="TX500700"/>
    <x v="7"/>
    <x v="2"/>
    <n v="79.8"/>
    <n v="239.39999999999998"/>
    <x v="29"/>
    <d v="2025-01-31T00:00:00"/>
    <s v="M"/>
    <x v="0"/>
    <x v="0"/>
    <x v="0"/>
    <x v="3"/>
    <x v="3"/>
    <x v="4"/>
    <x v="1"/>
  </r>
  <r>
    <s v="TX500701"/>
    <x v="9"/>
    <x v="0"/>
    <n v="54.4"/>
    <n v="54.4"/>
    <x v="29"/>
    <d v="2025-02-01T00:00:00"/>
    <s v="F"/>
    <x v="4"/>
    <x v="2"/>
    <x v="0"/>
    <x v="3"/>
    <x v="1"/>
    <x v="4"/>
    <x v="2"/>
  </r>
  <r>
    <s v="TX500702"/>
    <x v="6"/>
    <x v="0"/>
    <n v="87.3"/>
    <n v="87.3"/>
    <x v="29"/>
    <d v="2025-01-31T00:00:00"/>
    <s v="M"/>
    <x v="1"/>
    <x v="0"/>
    <x v="0"/>
    <x v="3"/>
    <x v="3"/>
    <x v="4"/>
    <x v="1"/>
  </r>
  <r>
    <s v="TX500703"/>
    <x v="8"/>
    <x v="12"/>
    <n v="32.4"/>
    <n v="129.6"/>
    <x v="29"/>
    <d v="2025-01-30T00:00:00"/>
    <s v="M"/>
    <x v="1"/>
    <x v="0"/>
    <x v="0"/>
    <x v="3"/>
    <x v="7"/>
    <x v="4"/>
    <x v="1"/>
  </r>
  <r>
    <s v="TX500704"/>
    <x v="2"/>
    <x v="0"/>
    <n v="177.4"/>
    <n v="177.4"/>
    <x v="29"/>
    <d v="2025-02-03T00:00:00"/>
    <s v="M"/>
    <x v="0"/>
    <x v="2"/>
    <x v="0"/>
    <x v="3"/>
    <x v="5"/>
    <x v="4"/>
    <x v="1"/>
  </r>
  <r>
    <s v="TX500705"/>
    <x v="7"/>
    <x v="1"/>
    <n v="70.099999999999994"/>
    <n v="140.19999999999999"/>
    <x v="29"/>
    <d v="2025-01-31T00:00:00"/>
    <s v="M"/>
    <x v="3"/>
    <x v="1"/>
    <x v="0"/>
    <x v="3"/>
    <x v="3"/>
    <x v="4"/>
    <x v="1"/>
  </r>
  <r>
    <s v="TX500706"/>
    <x v="9"/>
    <x v="13"/>
    <n v="51.1"/>
    <n v="306.60000000000002"/>
    <x v="29"/>
    <d v="2025-01-31T00:00:00"/>
    <s v="F"/>
    <x v="0"/>
    <x v="0"/>
    <x v="0"/>
    <x v="3"/>
    <x v="3"/>
    <x v="4"/>
    <x v="2"/>
  </r>
  <r>
    <s v="TX500707"/>
    <x v="2"/>
    <x v="9"/>
    <n v="79.900000000000006"/>
    <n v="399.5"/>
    <x v="29"/>
    <d v="2025-02-01T00:00:00"/>
    <s v="M"/>
    <x v="3"/>
    <x v="2"/>
    <x v="0"/>
    <x v="24"/>
    <x v="1"/>
    <x v="4"/>
    <x v="1"/>
  </r>
  <r>
    <s v="TX500708"/>
    <x v="6"/>
    <x v="0"/>
    <n v="57.6"/>
    <n v="57.6"/>
    <x v="30"/>
    <d v="2025-02-05T00:00:00"/>
    <s v="M"/>
    <x v="0"/>
    <x v="2"/>
    <x v="0"/>
    <x v="49"/>
    <x v="0"/>
    <x v="4"/>
    <x v="1"/>
  </r>
  <r>
    <s v="TX500709"/>
    <x v="8"/>
    <x v="7"/>
    <n v="59.7"/>
    <n v="597"/>
    <x v="30"/>
    <d v="2025-02-04T00:00:00"/>
    <s v="M"/>
    <x v="2"/>
    <x v="0"/>
    <x v="0"/>
    <x v="25"/>
    <x v="5"/>
    <x v="4"/>
    <x v="1"/>
  </r>
  <r>
    <s v="TX500710"/>
    <x v="8"/>
    <x v="9"/>
    <n v="30"/>
    <n v="150"/>
    <x v="30"/>
    <d v="2025-02-02T00:00:00"/>
    <s v="M"/>
    <x v="1"/>
    <x v="0"/>
    <x v="0"/>
    <x v="6"/>
    <x v="1"/>
    <x v="4"/>
    <x v="1"/>
  </r>
  <r>
    <s v="TX500711"/>
    <x v="10"/>
    <x v="1"/>
    <n v="69.2"/>
    <n v="138.4"/>
    <x v="30"/>
    <d v="2025-02-02T00:00:00"/>
    <s v=""/>
    <x v="2"/>
    <x v="1"/>
    <x v="0"/>
    <x v="6"/>
    <x v="1"/>
    <x v="4"/>
    <x v="0"/>
  </r>
  <r>
    <s v="TX500712"/>
    <x v="0"/>
    <x v="8"/>
    <n v="10.9"/>
    <n v="87.2"/>
    <x v="30"/>
    <d v="2025-02-01T00:00:00"/>
    <s v="F"/>
    <x v="0"/>
    <x v="2"/>
    <x v="0"/>
    <x v="6"/>
    <x v="3"/>
    <x v="4"/>
    <x v="2"/>
  </r>
  <r>
    <s v="TX500713"/>
    <x v="16"/>
    <x v="1"/>
    <n v="48.6"/>
    <n v="97.2"/>
    <x v="30"/>
    <d v="2025-02-04T00:00:00"/>
    <s v="M"/>
    <x v="1"/>
    <x v="2"/>
    <x v="0"/>
    <x v="6"/>
    <x v="5"/>
    <x v="4"/>
    <x v="1"/>
  </r>
  <r>
    <s v="TX500714"/>
    <x v="2"/>
    <x v="1"/>
    <n v="61.1"/>
    <n v="122.2"/>
    <x v="30"/>
    <d v="2025-02-03T00:00:00"/>
    <s v="F"/>
    <x v="1"/>
    <x v="2"/>
    <x v="0"/>
    <x v="7"/>
    <x v="2"/>
    <x v="4"/>
    <x v="2"/>
  </r>
  <r>
    <s v="TX500715"/>
    <x v="8"/>
    <x v="1"/>
    <n v="23.2"/>
    <n v="46.4"/>
    <x v="30"/>
    <d v="2025-02-01T00:00:00"/>
    <s v="M"/>
    <x v="3"/>
    <x v="2"/>
    <x v="0"/>
    <x v="8"/>
    <x v="3"/>
    <x v="4"/>
    <x v="1"/>
  </r>
  <r>
    <s v="TX500716"/>
    <x v="12"/>
    <x v="12"/>
    <n v="55.8"/>
    <n v="223.2"/>
    <x v="30"/>
    <d v="2025-02-01T00:00:00"/>
    <s v="M"/>
    <x v="0"/>
    <x v="0"/>
    <x v="0"/>
    <x v="8"/>
    <x v="3"/>
    <x v="4"/>
    <x v="1"/>
  </r>
  <r>
    <s v="TX500717"/>
    <x v="9"/>
    <x v="12"/>
    <n v="24.8"/>
    <n v="99.2"/>
    <x v="30"/>
    <d v="2025-02-01T00:00:00"/>
    <s v="F"/>
    <x v="0"/>
    <x v="2"/>
    <x v="0"/>
    <x v="8"/>
    <x v="3"/>
    <x v="4"/>
    <x v="2"/>
  </r>
  <r>
    <s v="TX500718"/>
    <x v="10"/>
    <x v="1"/>
    <n v="27.9"/>
    <n v="55.8"/>
    <x v="30"/>
    <d v="2025-01-31T00:00:00"/>
    <s v="M"/>
    <x v="2"/>
    <x v="2"/>
    <x v="0"/>
    <x v="8"/>
    <x v="7"/>
    <x v="4"/>
    <x v="1"/>
  </r>
  <r>
    <s v="TX500719"/>
    <x v="10"/>
    <x v="13"/>
    <n v="51.1"/>
    <n v="306.60000000000002"/>
    <x v="30"/>
    <d v="2025-01-31T00:00:00"/>
    <s v="F"/>
    <x v="3"/>
    <x v="0"/>
    <x v="0"/>
    <x v="8"/>
    <x v="7"/>
    <x v="4"/>
    <x v="2"/>
  </r>
  <r>
    <s v="TX500720"/>
    <x v="17"/>
    <x v="5"/>
    <n v="32.700000000000003"/>
    <n v="359.70000000000005"/>
    <x v="30"/>
    <d v="2025-02-01T00:00:00"/>
    <s v="M"/>
    <x v="4"/>
    <x v="2"/>
    <x v="0"/>
    <x v="17"/>
    <x v="3"/>
    <x v="4"/>
    <x v="1"/>
  </r>
  <r>
    <s v="TX500721"/>
    <x v="8"/>
    <x v="12"/>
    <n v="22.5"/>
    <n v="90"/>
    <x v="30"/>
    <d v="2025-01-31T00:00:00"/>
    <s v="M"/>
    <x v="0"/>
    <x v="2"/>
    <x v="0"/>
    <x v="26"/>
    <x v="7"/>
    <x v="4"/>
    <x v="1"/>
  </r>
  <r>
    <s v="TX500722"/>
    <x v="0"/>
    <x v="3"/>
    <n v="14.6"/>
    <n v="102.2"/>
    <x v="30"/>
    <d v="2025-02-01T00:00:00"/>
    <s v="F"/>
    <x v="2"/>
    <x v="0"/>
    <x v="0"/>
    <x v="41"/>
    <x v="3"/>
    <x v="4"/>
    <x v="2"/>
  </r>
  <r>
    <s v="TX500723"/>
    <x v="5"/>
    <x v="2"/>
    <n v="32.5"/>
    <n v="97.5"/>
    <x v="30"/>
    <d v="2025-02-03T00:00:00"/>
    <s v="M"/>
    <x v="0"/>
    <x v="0"/>
    <x v="0"/>
    <x v="10"/>
    <x v="2"/>
    <x v="4"/>
    <x v="1"/>
  </r>
  <r>
    <s v="TX500724"/>
    <x v="18"/>
    <x v="0"/>
    <n v="78.099999999999994"/>
    <n v="78.099999999999994"/>
    <x v="30"/>
    <d v="2025-02-03T00:00:00"/>
    <s v="M"/>
    <x v="0"/>
    <x v="2"/>
    <x v="0"/>
    <x v="11"/>
    <x v="2"/>
    <x v="4"/>
    <x v="1"/>
  </r>
  <r>
    <s v="TX500725"/>
    <x v="12"/>
    <x v="13"/>
    <n v="110.2"/>
    <n v="661.2"/>
    <x v="30"/>
    <d v="2025-01-31T00:00:00"/>
    <s v="M"/>
    <x v="1"/>
    <x v="4"/>
    <x v="0"/>
    <x v="13"/>
    <x v="7"/>
    <x v="4"/>
    <x v="1"/>
  </r>
  <r>
    <s v="TX500726"/>
    <x v="6"/>
    <x v="2"/>
    <n v="86.3"/>
    <n v="258.89999999999998"/>
    <x v="30"/>
    <d v="2025-02-02T00:00:00"/>
    <s v="F"/>
    <x v="3"/>
    <x v="0"/>
    <x v="0"/>
    <x v="21"/>
    <x v="1"/>
    <x v="4"/>
    <x v="2"/>
  </r>
  <r>
    <s v="TX500727"/>
    <x v="1"/>
    <x v="13"/>
    <n v="73.599999999999994"/>
    <n v="441.59999999999997"/>
    <x v="30"/>
    <d v="2025-02-02T00:00:00"/>
    <s v="O"/>
    <x v="3"/>
    <x v="4"/>
    <x v="0"/>
    <x v="44"/>
    <x v="1"/>
    <x v="4"/>
    <x v="3"/>
  </r>
  <r>
    <s v="TX500728"/>
    <x v="6"/>
    <x v="15"/>
    <n v="67.7"/>
    <n v="880.1"/>
    <x v="30"/>
    <d v="2025-02-02T00:00:00"/>
    <s v="F"/>
    <x v="0"/>
    <x v="2"/>
    <x v="0"/>
    <x v="3"/>
    <x v="1"/>
    <x v="4"/>
    <x v="2"/>
  </r>
  <r>
    <s v="TX500729"/>
    <x v="7"/>
    <x v="13"/>
    <n v="142.19999999999999"/>
    <n v="853.19999999999993"/>
    <x v="30"/>
    <d v="2025-02-01T00:00:00"/>
    <s v="F"/>
    <x v="2"/>
    <x v="4"/>
    <x v="0"/>
    <x v="3"/>
    <x v="3"/>
    <x v="4"/>
    <x v="2"/>
  </r>
  <r>
    <s v="TX500730"/>
    <x v="1"/>
    <x v="11"/>
    <n v="45.8"/>
    <n v="412.2"/>
    <x v="30"/>
    <d v="2025-02-02T00:00:00"/>
    <s v="F"/>
    <x v="1"/>
    <x v="2"/>
    <x v="0"/>
    <x v="3"/>
    <x v="1"/>
    <x v="4"/>
    <x v="2"/>
  </r>
  <r>
    <s v="TX500731"/>
    <x v="10"/>
    <x v="1"/>
    <n v="24.2"/>
    <n v="48.4"/>
    <x v="31"/>
    <d v="2025-02-04T00:00:00"/>
    <s v="F"/>
    <x v="3"/>
    <x v="2"/>
    <x v="0"/>
    <x v="3"/>
    <x v="2"/>
    <x v="4"/>
    <x v="2"/>
  </r>
  <r>
    <s v="TX500732"/>
    <x v="2"/>
    <x v="2"/>
    <n v="144.9"/>
    <n v="434.70000000000005"/>
    <x v="31"/>
    <d v="2025-02-02T00:00:00"/>
    <s v="O"/>
    <x v="2"/>
    <x v="2"/>
    <x v="0"/>
    <x v="3"/>
    <x v="3"/>
    <x v="4"/>
    <x v="3"/>
  </r>
  <r>
    <s v="TX500733"/>
    <x v="11"/>
    <x v="9"/>
    <n v="32.799999999999997"/>
    <n v="164"/>
    <x v="31"/>
    <d v="2025-02-04T00:00:00"/>
    <s v="F"/>
    <x v="2"/>
    <x v="0"/>
    <x v="0"/>
    <x v="23"/>
    <x v="2"/>
    <x v="4"/>
    <x v="2"/>
  </r>
  <r>
    <s v="TX500734"/>
    <x v="7"/>
    <x v="7"/>
    <n v="35.700000000000003"/>
    <n v="357"/>
    <x v="31"/>
    <d v="2025-02-01T00:00:00"/>
    <s v="F"/>
    <x v="0"/>
    <x v="1"/>
    <x v="0"/>
    <x v="6"/>
    <x v="7"/>
    <x v="4"/>
    <x v="2"/>
  </r>
  <r>
    <s v="TX500735"/>
    <x v="9"/>
    <x v="1"/>
    <n v="54.6"/>
    <n v="109.2"/>
    <x v="31"/>
    <d v="2025-02-02T00:00:00"/>
    <s v="F"/>
    <x v="2"/>
    <x v="0"/>
    <x v="0"/>
    <x v="6"/>
    <x v="3"/>
    <x v="4"/>
    <x v="2"/>
  </r>
  <r>
    <s v="TX500736"/>
    <x v="8"/>
    <x v="1"/>
    <n v="35.700000000000003"/>
    <n v="71.400000000000006"/>
    <x v="31"/>
    <d v="2025-02-04T00:00:00"/>
    <s v=""/>
    <x v="0"/>
    <x v="1"/>
    <x v="0"/>
    <x v="6"/>
    <x v="2"/>
    <x v="4"/>
    <x v="0"/>
  </r>
  <r>
    <s v="TX500737"/>
    <x v="10"/>
    <x v="1"/>
    <n v="52.4"/>
    <n v="104.8"/>
    <x v="31"/>
    <d v="2025-02-01T00:00:00"/>
    <s v="F"/>
    <x v="0"/>
    <x v="3"/>
    <x v="0"/>
    <x v="6"/>
    <x v="7"/>
    <x v="4"/>
    <x v="2"/>
  </r>
  <r>
    <s v="TX500738"/>
    <x v="8"/>
    <x v="21"/>
    <n v="16.2"/>
    <n v="226.79999999999998"/>
    <x v="31"/>
    <d v="2025-02-02T00:00:00"/>
    <s v=""/>
    <x v="0"/>
    <x v="1"/>
    <x v="0"/>
    <x v="8"/>
    <x v="3"/>
    <x v="4"/>
    <x v="0"/>
  </r>
  <r>
    <s v="TX500739"/>
    <x v="6"/>
    <x v="35"/>
    <n v="42.8"/>
    <n v="2011.6"/>
    <x v="31"/>
    <d v="2025-02-02T00:00:00"/>
    <s v="F"/>
    <x v="0"/>
    <x v="0"/>
    <x v="0"/>
    <x v="8"/>
    <x v="3"/>
    <x v="4"/>
    <x v="2"/>
  </r>
  <r>
    <s v="TX500740"/>
    <x v="6"/>
    <x v="11"/>
    <n v="144.4"/>
    <n v="1299.6000000000001"/>
    <x v="31"/>
    <d v="2025-02-04T00:00:00"/>
    <s v="F"/>
    <x v="4"/>
    <x v="0"/>
    <x v="0"/>
    <x v="8"/>
    <x v="2"/>
    <x v="4"/>
    <x v="2"/>
  </r>
  <r>
    <s v="TX500741"/>
    <x v="3"/>
    <x v="34"/>
    <n v="30.6"/>
    <n v="1101.6000000000001"/>
    <x v="31"/>
    <d v="2025-02-05T00:00:00"/>
    <s v="F"/>
    <x v="2"/>
    <x v="2"/>
    <x v="0"/>
    <x v="11"/>
    <x v="5"/>
    <x v="4"/>
    <x v="2"/>
  </r>
  <r>
    <s v="TX500742"/>
    <x v="2"/>
    <x v="1"/>
    <n v="117.5"/>
    <n v="235"/>
    <x v="31"/>
    <d v="2025-02-02T00:00:00"/>
    <s v="M"/>
    <x v="0"/>
    <x v="0"/>
    <x v="0"/>
    <x v="19"/>
    <x v="3"/>
    <x v="4"/>
    <x v="1"/>
  </r>
  <r>
    <s v="TX500743"/>
    <x v="6"/>
    <x v="1"/>
    <n v="105.7"/>
    <n v="211.4"/>
    <x v="31"/>
    <d v="2025-02-02T00:00:00"/>
    <s v="F"/>
    <x v="2"/>
    <x v="2"/>
    <x v="0"/>
    <x v="21"/>
    <x v="3"/>
    <x v="4"/>
    <x v="2"/>
  </r>
  <r>
    <s v="TX500744"/>
    <x v="3"/>
    <x v="2"/>
    <n v="133.69999999999999"/>
    <n v="401.09999999999997"/>
    <x v="31"/>
    <d v="2025-02-02T00:00:00"/>
    <s v=""/>
    <x v="4"/>
    <x v="2"/>
    <x v="0"/>
    <x v="21"/>
    <x v="3"/>
    <x v="4"/>
    <x v="0"/>
  </r>
  <r>
    <s v="TX500745"/>
    <x v="4"/>
    <x v="9"/>
    <n v="46.8"/>
    <n v="234"/>
    <x v="32"/>
    <d v="2025-02-10T00:00:00"/>
    <s v="F"/>
    <x v="0"/>
    <x v="1"/>
    <x v="0"/>
    <x v="21"/>
    <x v="9"/>
    <x v="5"/>
    <x v="2"/>
  </r>
  <r>
    <s v="TX500746"/>
    <x v="10"/>
    <x v="2"/>
    <n v="58.4"/>
    <n v="175.2"/>
    <x v="32"/>
    <d v="2025-02-04T00:00:00"/>
    <s v="F"/>
    <x v="0"/>
    <x v="0"/>
    <x v="0"/>
    <x v="1"/>
    <x v="1"/>
    <x v="5"/>
    <x v="2"/>
  </r>
  <r>
    <s v="TX500747"/>
    <x v="6"/>
    <x v="11"/>
    <n v="65.099999999999994"/>
    <n v="585.9"/>
    <x v="32"/>
    <d v="2025-02-06T00:00:00"/>
    <s v="M"/>
    <x v="1"/>
    <x v="2"/>
    <x v="0"/>
    <x v="22"/>
    <x v="5"/>
    <x v="5"/>
    <x v="1"/>
  </r>
  <r>
    <s v="TX500748"/>
    <x v="8"/>
    <x v="0"/>
    <n v="18.600000000000001"/>
    <n v="18.600000000000001"/>
    <x v="32"/>
    <d v="2025-02-05T00:00:00"/>
    <s v="F"/>
    <x v="0"/>
    <x v="4"/>
    <x v="0"/>
    <x v="22"/>
    <x v="2"/>
    <x v="5"/>
    <x v="2"/>
  </r>
  <r>
    <s v="TX500749"/>
    <x v="1"/>
    <x v="5"/>
    <n v="92.3"/>
    <n v="1015.3"/>
    <x v="32"/>
    <d v="2025-02-04T00:00:00"/>
    <s v="M"/>
    <x v="1"/>
    <x v="0"/>
    <x v="0"/>
    <x v="3"/>
    <x v="1"/>
    <x v="5"/>
    <x v="1"/>
  </r>
  <r>
    <s v="TX500750"/>
    <x v="6"/>
    <x v="2"/>
    <n v="81.7"/>
    <n v="245.10000000000002"/>
    <x v="32"/>
    <d v="2025-02-03T00:00:00"/>
    <s v=""/>
    <x v="4"/>
    <x v="4"/>
    <x v="0"/>
    <x v="3"/>
    <x v="3"/>
    <x v="5"/>
    <x v="0"/>
  </r>
  <r>
    <s v="TX500751"/>
    <x v="8"/>
    <x v="1"/>
    <n v="40.9"/>
    <n v="81.8"/>
    <x v="32"/>
    <d v="2025-02-04T00:00:00"/>
    <s v="M"/>
    <x v="0"/>
    <x v="1"/>
    <x v="0"/>
    <x v="3"/>
    <x v="1"/>
    <x v="5"/>
    <x v="1"/>
  </r>
  <r>
    <s v="TX500752"/>
    <x v="6"/>
    <x v="12"/>
    <n v="43.2"/>
    <n v="172.8"/>
    <x v="32"/>
    <d v="2025-02-08T00:00:00"/>
    <s v="F"/>
    <x v="0"/>
    <x v="1"/>
    <x v="0"/>
    <x v="3"/>
    <x v="4"/>
    <x v="5"/>
    <x v="2"/>
  </r>
  <r>
    <s v="TX500753"/>
    <x v="8"/>
    <x v="5"/>
    <n v="25.8"/>
    <n v="283.8"/>
    <x v="32"/>
    <d v="2025-02-05T00:00:00"/>
    <s v="M"/>
    <x v="2"/>
    <x v="1"/>
    <x v="0"/>
    <x v="3"/>
    <x v="2"/>
    <x v="5"/>
    <x v="1"/>
  </r>
  <r>
    <s v="TX500754"/>
    <x v="15"/>
    <x v="12"/>
    <n v="36.4"/>
    <n v="145.6"/>
    <x v="32"/>
    <d v="2025-02-03T00:00:00"/>
    <s v="M"/>
    <x v="0"/>
    <x v="0"/>
    <x v="0"/>
    <x v="3"/>
    <x v="3"/>
    <x v="5"/>
    <x v="1"/>
  </r>
  <r>
    <s v="TX500755"/>
    <x v="10"/>
    <x v="0"/>
    <n v="59.1"/>
    <n v="59.1"/>
    <x v="32"/>
    <d v="2025-02-03T00:00:00"/>
    <s v="F"/>
    <x v="2"/>
    <x v="0"/>
    <x v="0"/>
    <x v="7"/>
    <x v="3"/>
    <x v="5"/>
    <x v="2"/>
  </r>
  <r>
    <s v="TX500756"/>
    <x v="2"/>
    <x v="14"/>
    <n v="74.5"/>
    <n v="1266.5"/>
    <x v="32"/>
    <d v="2025-02-04T00:00:00"/>
    <s v="M"/>
    <x v="4"/>
    <x v="0"/>
    <x v="0"/>
    <x v="18"/>
    <x v="1"/>
    <x v="5"/>
    <x v="1"/>
  </r>
  <r>
    <s v="TX500757"/>
    <x v="5"/>
    <x v="0"/>
    <n v="72.8"/>
    <n v="72.8"/>
    <x v="32"/>
    <d v="2025-02-03T00:00:00"/>
    <s v="F"/>
    <x v="0"/>
    <x v="1"/>
    <x v="0"/>
    <x v="19"/>
    <x v="3"/>
    <x v="5"/>
    <x v="2"/>
  </r>
  <r>
    <s v="TX500758"/>
    <x v="6"/>
    <x v="12"/>
    <n v="137.30000000000001"/>
    <n v="549.20000000000005"/>
    <x v="32"/>
    <d v="2025-02-05T00:00:00"/>
    <s v="F"/>
    <x v="0"/>
    <x v="0"/>
    <x v="0"/>
    <x v="13"/>
    <x v="2"/>
    <x v="5"/>
    <x v="2"/>
  </r>
  <r>
    <s v="TX500759"/>
    <x v="1"/>
    <x v="2"/>
    <n v="48.7"/>
    <n v="146.10000000000002"/>
    <x v="32"/>
    <d v="2025-02-07T00:00:00"/>
    <s v="F"/>
    <x v="0"/>
    <x v="1"/>
    <x v="0"/>
    <x v="21"/>
    <x v="0"/>
    <x v="5"/>
    <x v="2"/>
  </r>
  <r>
    <s v="TX500760"/>
    <x v="6"/>
    <x v="12"/>
    <n v="53.7"/>
    <n v="214.8"/>
    <x v="32"/>
    <d v="2025-02-06T00:00:00"/>
    <s v="M"/>
    <x v="1"/>
    <x v="4"/>
    <x v="0"/>
    <x v="2"/>
    <x v="5"/>
    <x v="5"/>
    <x v="1"/>
  </r>
  <r>
    <s v="TX500761"/>
    <x v="2"/>
    <x v="3"/>
    <n v="100.9"/>
    <n v="706.30000000000007"/>
    <x v="32"/>
    <d v="2025-02-04T00:00:00"/>
    <s v="F"/>
    <x v="0"/>
    <x v="1"/>
    <x v="0"/>
    <x v="2"/>
    <x v="1"/>
    <x v="5"/>
    <x v="2"/>
  </r>
  <r>
    <s v="TX500762"/>
    <x v="10"/>
    <x v="1"/>
    <n v="41.8"/>
    <n v="83.6"/>
    <x v="32"/>
    <d v="2025-02-06T00:00:00"/>
    <s v="M"/>
    <x v="3"/>
    <x v="2"/>
    <x v="0"/>
    <x v="22"/>
    <x v="5"/>
    <x v="5"/>
    <x v="1"/>
  </r>
  <r>
    <s v="TX500763"/>
    <x v="4"/>
    <x v="8"/>
    <n v="28.5"/>
    <n v="228"/>
    <x v="32"/>
    <d v="2025-02-04T00:00:00"/>
    <s v="M"/>
    <x v="2"/>
    <x v="1"/>
    <x v="0"/>
    <x v="3"/>
    <x v="1"/>
    <x v="5"/>
    <x v="1"/>
  </r>
  <r>
    <s v="TX500764"/>
    <x v="7"/>
    <x v="12"/>
    <n v="88.9"/>
    <n v="355.6"/>
    <x v="32"/>
    <d v="2025-02-05T00:00:00"/>
    <s v="F"/>
    <x v="0"/>
    <x v="2"/>
    <x v="0"/>
    <x v="3"/>
    <x v="2"/>
    <x v="5"/>
    <x v="2"/>
  </r>
  <r>
    <s v="TX500765"/>
    <x v="6"/>
    <x v="0"/>
    <n v="62.5"/>
    <n v="62.5"/>
    <x v="32"/>
    <d v="2025-02-11T00:00:00"/>
    <s v="F"/>
    <x v="0"/>
    <x v="2"/>
    <x v="0"/>
    <x v="3"/>
    <x v="8"/>
    <x v="5"/>
    <x v="2"/>
  </r>
  <r>
    <s v="TX500766"/>
    <x v="1"/>
    <x v="2"/>
    <n v="46.9"/>
    <n v="140.69999999999999"/>
    <x v="32"/>
    <d v="2025-02-03T00:00:00"/>
    <s v="M"/>
    <x v="0"/>
    <x v="2"/>
    <x v="0"/>
    <x v="3"/>
    <x v="3"/>
    <x v="5"/>
    <x v="1"/>
  </r>
  <r>
    <s v="TX500767"/>
    <x v="8"/>
    <x v="2"/>
    <n v="45"/>
    <n v="135"/>
    <x v="32"/>
    <d v="2025-02-16T00:00:00"/>
    <s v="M"/>
    <x v="1"/>
    <x v="0"/>
    <x v="0"/>
    <x v="3"/>
    <x v="12"/>
    <x v="5"/>
    <x v="1"/>
  </r>
  <r>
    <s v="TX500768"/>
    <x v="6"/>
    <x v="2"/>
    <n v="45.2"/>
    <n v="135.60000000000002"/>
    <x v="32"/>
    <d v="2025-02-04T00:00:00"/>
    <s v="M"/>
    <x v="4"/>
    <x v="2"/>
    <x v="0"/>
    <x v="3"/>
    <x v="1"/>
    <x v="5"/>
    <x v="1"/>
  </r>
  <r>
    <s v="TX500769"/>
    <x v="4"/>
    <x v="1"/>
    <n v="60.1"/>
    <n v="120.2"/>
    <x v="32"/>
    <d v="2025-02-03T00:00:00"/>
    <s v="F"/>
    <x v="0"/>
    <x v="2"/>
    <x v="0"/>
    <x v="3"/>
    <x v="3"/>
    <x v="5"/>
    <x v="2"/>
  </r>
  <r>
    <s v="TX500770"/>
    <x v="12"/>
    <x v="12"/>
    <n v="118.7"/>
    <n v="474.8"/>
    <x v="32"/>
    <d v="2025-02-04T00:00:00"/>
    <s v="F"/>
    <x v="0"/>
    <x v="0"/>
    <x v="0"/>
    <x v="3"/>
    <x v="1"/>
    <x v="5"/>
    <x v="2"/>
  </r>
  <r>
    <s v="TX500771"/>
    <x v="9"/>
    <x v="0"/>
    <n v="57.8"/>
    <n v="57.8"/>
    <x v="32"/>
    <d v="2025-02-11T00:00:00"/>
    <s v="F"/>
    <x v="1"/>
    <x v="0"/>
    <x v="0"/>
    <x v="3"/>
    <x v="8"/>
    <x v="5"/>
    <x v="2"/>
  </r>
  <r>
    <s v="TX500772"/>
    <x v="4"/>
    <x v="0"/>
    <n v="19.5"/>
    <n v="19.5"/>
    <x v="32"/>
    <d v="2025-02-03T00:00:00"/>
    <s v="M"/>
    <x v="1"/>
    <x v="1"/>
    <x v="0"/>
    <x v="3"/>
    <x v="3"/>
    <x v="5"/>
    <x v="1"/>
  </r>
  <r>
    <s v="TX500773"/>
    <x v="12"/>
    <x v="0"/>
    <n v="42.6"/>
    <n v="42.6"/>
    <x v="32"/>
    <d v="2025-02-03T00:00:00"/>
    <s v="M"/>
    <x v="0"/>
    <x v="1"/>
    <x v="0"/>
    <x v="3"/>
    <x v="3"/>
    <x v="5"/>
    <x v="1"/>
  </r>
  <r>
    <s v="TX500774"/>
    <x v="6"/>
    <x v="1"/>
    <n v="74.8"/>
    <n v="149.6"/>
    <x v="32"/>
    <d v="2025-02-03T00:00:00"/>
    <s v="F"/>
    <x v="3"/>
    <x v="2"/>
    <x v="0"/>
    <x v="37"/>
    <x v="3"/>
    <x v="5"/>
    <x v="2"/>
  </r>
  <r>
    <s v="TX500775"/>
    <x v="8"/>
    <x v="2"/>
    <n v="32.5"/>
    <n v="97.5"/>
    <x v="32"/>
    <d v="2025-02-03T00:00:00"/>
    <s v="M"/>
    <x v="2"/>
    <x v="4"/>
    <x v="0"/>
    <x v="16"/>
    <x v="3"/>
    <x v="5"/>
    <x v="1"/>
  </r>
  <r>
    <s v="TX500776"/>
    <x v="2"/>
    <x v="2"/>
    <n v="60.5"/>
    <n v="181.5"/>
    <x v="32"/>
    <d v="2025-02-02T00:00:00"/>
    <s v="F"/>
    <x v="1"/>
    <x v="2"/>
    <x v="0"/>
    <x v="25"/>
    <x v="7"/>
    <x v="5"/>
    <x v="2"/>
  </r>
  <r>
    <s v="TX500777"/>
    <x v="1"/>
    <x v="3"/>
    <n v="57.2"/>
    <n v="400.40000000000003"/>
    <x v="32"/>
    <d v="2025-02-04T00:00:00"/>
    <s v=""/>
    <x v="2"/>
    <x v="0"/>
    <x v="0"/>
    <x v="25"/>
    <x v="1"/>
    <x v="5"/>
    <x v="0"/>
  </r>
  <r>
    <s v="TX500778"/>
    <x v="16"/>
    <x v="1"/>
    <n v="112"/>
    <n v="224"/>
    <x v="32"/>
    <d v="2025-02-03T00:00:00"/>
    <s v="F"/>
    <x v="1"/>
    <x v="1"/>
    <x v="0"/>
    <x v="5"/>
    <x v="3"/>
    <x v="5"/>
    <x v="2"/>
  </r>
  <r>
    <s v="TX500779"/>
    <x v="7"/>
    <x v="7"/>
    <n v="49"/>
    <n v="490"/>
    <x v="32"/>
    <d v="2025-02-03T00:00:00"/>
    <s v="O"/>
    <x v="2"/>
    <x v="1"/>
    <x v="0"/>
    <x v="6"/>
    <x v="3"/>
    <x v="5"/>
    <x v="3"/>
  </r>
  <r>
    <s v="TX500780"/>
    <x v="0"/>
    <x v="1"/>
    <n v="33.700000000000003"/>
    <n v="67.400000000000006"/>
    <x v="32"/>
    <d v="2025-02-06T00:00:00"/>
    <s v="F"/>
    <x v="3"/>
    <x v="0"/>
    <x v="0"/>
    <x v="6"/>
    <x v="5"/>
    <x v="5"/>
    <x v="2"/>
  </r>
  <r>
    <s v="TX500781"/>
    <x v="4"/>
    <x v="2"/>
    <n v="35.6"/>
    <n v="106.80000000000001"/>
    <x v="32"/>
    <d v="2025-02-05T00:00:00"/>
    <s v="F"/>
    <x v="0"/>
    <x v="2"/>
    <x v="0"/>
    <x v="6"/>
    <x v="2"/>
    <x v="5"/>
    <x v="2"/>
  </r>
  <r>
    <s v="TX500782"/>
    <x v="4"/>
    <x v="36"/>
    <n v="30.4"/>
    <n v="1064"/>
    <x v="33"/>
    <d v="2025-02-03T00:00:00"/>
    <s v="F"/>
    <x v="0"/>
    <x v="1"/>
    <x v="0"/>
    <x v="7"/>
    <x v="7"/>
    <x v="5"/>
    <x v="2"/>
  </r>
  <r>
    <s v="TX500783"/>
    <x v="10"/>
    <x v="4"/>
    <n v="50.2"/>
    <n v="602.40000000000009"/>
    <x v="33"/>
    <d v="2025-02-04T00:00:00"/>
    <s v="M"/>
    <x v="4"/>
    <x v="0"/>
    <x v="0"/>
    <x v="8"/>
    <x v="3"/>
    <x v="5"/>
    <x v="1"/>
  </r>
  <r>
    <s v="TX500784"/>
    <x v="1"/>
    <x v="1"/>
    <n v="43.7"/>
    <n v="87.4"/>
    <x v="33"/>
    <d v="2025-02-05T00:00:00"/>
    <s v="F"/>
    <x v="0"/>
    <x v="0"/>
    <x v="0"/>
    <x v="8"/>
    <x v="1"/>
    <x v="5"/>
    <x v="2"/>
  </r>
  <r>
    <s v="TX500785"/>
    <x v="10"/>
    <x v="0"/>
    <n v="33.299999999999997"/>
    <n v="33.299999999999997"/>
    <x v="33"/>
    <d v="2025-02-04T00:00:00"/>
    <s v="F"/>
    <x v="2"/>
    <x v="1"/>
    <x v="0"/>
    <x v="8"/>
    <x v="3"/>
    <x v="5"/>
    <x v="2"/>
  </r>
  <r>
    <s v="TX500786"/>
    <x v="8"/>
    <x v="12"/>
    <n v="15.1"/>
    <n v="60.4"/>
    <x v="33"/>
    <d v="2025-02-05T00:00:00"/>
    <s v="F"/>
    <x v="4"/>
    <x v="2"/>
    <x v="0"/>
    <x v="8"/>
    <x v="1"/>
    <x v="5"/>
    <x v="2"/>
  </r>
  <r>
    <s v="TX500787"/>
    <x v="6"/>
    <x v="9"/>
    <n v="118.2"/>
    <n v="591"/>
    <x v="33"/>
    <d v="2025-02-04T00:00:00"/>
    <s v="F"/>
    <x v="3"/>
    <x v="4"/>
    <x v="0"/>
    <x v="8"/>
    <x v="3"/>
    <x v="5"/>
    <x v="2"/>
  </r>
  <r>
    <s v="TX500788"/>
    <x v="10"/>
    <x v="2"/>
    <n v="28.9"/>
    <n v="86.699999999999989"/>
    <x v="33"/>
    <d v="2025-02-05T00:00:00"/>
    <s v="F"/>
    <x v="2"/>
    <x v="1"/>
    <x v="0"/>
    <x v="8"/>
    <x v="1"/>
    <x v="5"/>
    <x v="2"/>
  </r>
  <r>
    <s v="TX500789"/>
    <x v="4"/>
    <x v="2"/>
    <n v="55.6"/>
    <n v="166.8"/>
    <x v="33"/>
    <d v="2025-02-04T00:00:00"/>
    <s v="M"/>
    <x v="0"/>
    <x v="1"/>
    <x v="0"/>
    <x v="8"/>
    <x v="3"/>
    <x v="5"/>
    <x v="1"/>
  </r>
  <r>
    <s v="TX500790"/>
    <x v="9"/>
    <x v="12"/>
    <n v="25.6"/>
    <n v="102.4"/>
    <x v="33"/>
    <d v="2025-02-05T00:00:00"/>
    <s v="F"/>
    <x v="0"/>
    <x v="1"/>
    <x v="0"/>
    <x v="8"/>
    <x v="1"/>
    <x v="5"/>
    <x v="2"/>
  </r>
  <r>
    <s v="TX500791"/>
    <x v="7"/>
    <x v="2"/>
    <n v="31.3"/>
    <n v="93.9"/>
    <x v="33"/>
    <d v="2025-02-04T00:00:00"/>
    <s v="M"/>
    <x v="0"/>
    <x v="0"/>
    <x v="0"/>
    <x v="17"/>
    <x v="3"/>
    <x v="5"/>
    <x v="1"/>
  </r>
  <r>
    <s v="TX500792"/>
    <x v="0"/>
    <x v="2"/>
    <n v="22.1"/>
    <n v="66.300000000000011"/>
    <x v="33"/>
    <d v="2025-02-07T00:00:00"/>
    <s v="M"/>
    <x v="0"/>
    <x v="0"/>
    <x v="0"/>
    <x v="17"/>
    <x v="5"/>
    <x v="5"/>
    <x v="1"/>
  </r>
  <r>
    <s v="TX500793"/>
    <x v="2"/>
    <x v="21"/>
    <n v="99.4"/>
    <n v="1391.6000000000001"/>
    <x v="33"/>
    <d v="2025-02-04T00:00:00"/>
    <s v="M"/>
    <x v="1"/>
    <x v="0"/>
    <x v="0"/>
    <x v="11"/>
    <x v="3"/>
    <x v="5"/>
    <x v="1"/>
  </r>
  <r>
    <s v="TX500794"/>
    <x v="7"/>
    <x v="13"/>
    <n v="66.599999999999994"/>
    <n v="399.59999999999997"/>
    <x v="33"/>
    <d v="2025-02-04T00:00:00"/>
    <s v="F"/>
    <x v="0"/>
    <x v="0"/>
    <x v="0"/>
    <x v="11"/>
    <x v="3"/>
    <x v="5"/>
    <x v="2"/>
  </r>
  <r>
    <s v="TX500795"/>
    <x v="8"/>
    <x v="1"/>
    <n v="22.6"/>
    <n v="45.2"/>
    <x v="33"/>
    <d v="2025-02-06T00:00:00"/>
    <s v="M"/>
    <x v="0"/>
    <x v="0"/>
    <x v="0"/>
    <x v="11"/>
    <x v="2"/>
    <x v="5"/>
    <x v="1"/>
  </r>
  <r>
    <s v="TX500796"/>
    <x v="2"/>
    <x v="16"/>
    <n v="66.8"/>
    <n v="1202.3999999999999"/>
    <x v="33"/>
    <d v="2025-02-04T00:00:00"/>
    <s v="F"/>
    <x v="0"/>
    <x v="4"/>
    <x v="0"/>
    <x v="13"/>
    <x v="3"/>
    <x v="5"/>
    <x v="2"/>
  </r>
  <r>
    <s v="TX500797"/>
    <x v="0"/>
    <x v="12"/>
    <n v="20.8"/>
    <n v="83.2"/>
    <x v="33"/>
    <d v="2025-02-10T00:00:00"/>
    <s v="M"/>
    <x v="1"/>
    <x v="4"/>
    <x v="0"/>
    <x v="1"/>
    <x v="6"/>
    <x v="5"/>
    <x v="1"/>
  </r>
  <r>
    <s v="TX500798"/>
    <x v="2"/>
    <x v="3"/>
    <n v="102.5"/>
    <n v="717.5"/>
    <x v="33"/>
    <d v="2025-02-04T00:00:00"/>
    <s v="F"/>
    <x v="4"/>
    <x v="2"/>
    <x v="0"/>
    <x v="3"/>
    <x v="3"/>
    <x v="5"/>
    <x v="2"/>
  </r>
  <r>
    <s v="TX500799"/>
    <x v="0"/>
    <x v="16"/>
    <n v="24.8"/>
    <n v="446.40000000000003"/>
    <x v="33"/>
    <d v="2025-02-07T00:00:00"/>
    <s v="F"/>
    <x v="0"/>
    <x v="0"/>
    <x v="0"/>
    <x v="3"/>
    <x v="5"/>
    <x v="5"/>
    <x v="2"/>
  </r>
  <r>
    <s v="TX500800"/>
    <x v="4"/>
    <x v="37"/>
    <n v="31.4"/>
    <n v="973.4"/>
    <x v="33"/>
    <d v="2025-02-04T00:00:00"/>
    <s v="F"/>
    <x v="3"/>
    <x v="0"/>
    <x v="0"/>
    <x v="3"/>
    <x v="3"/>
    <x v="5"/>
    <x v="2"/>
  </r>
  <r>
    <s v="TX500801"/>
    <x v="9"/>
    <x v="9"/>
    <n v="59.3"/>
    <n v="296.5"/>
    <x v="33"/>
    <d v="2025-02-06T00:00:00"/>
    <s v="M"/>
    <x v="1"/>
    <x v="2"/>
    <x v="0"/>
    <x v="43"/>
    <x v="2"/>
    <x v="5"/>
    <x v="1"/>
  </r>
  <r>
    <s v="TX500802"/>
    <x v="11"/>
    <x v="13"/>
    <n v="39"/>
    <n v="234"/>
    <x v="33"/>
    <d v="2025-02-06T00:00:00"/>
    <s v="M"/>
    <x v="1"/>
    <x v="0"/>
    <x v="0"/>
    <x v="6"/>
    <x v="2"/>
    <x v="5"/>
    <x v="1"/>
  </r>
  <r>
    <s v="TX500803"/>
    <x v="5"/>
    <x v="13"/>
    <n v="98.6"/>
    <n v="591.59999999999991"/>
    <x v="33"/>
    <d v="2025-02-05T00:00:00"/>
    <s v="F"/>
    <x v="1"/>
    <x v="0"/>
    <x v="0"/>
    <x v="6"/>
    <x v="1"/>
    <x v="5"/>
    <x v="2"/>
  </r>
  <r>
    <s v="TX500804"/>
    <x v="8"/>
    <x v="0"/>
    <n v="20"/>
    <n v="20"/>
    <x v="34"/>
    <d v="2025-02-05T00:00:00"/>
    <s v="M"/>
    <x v="3"/>
    <x v="2"/>
    <x v="0"/>
    <x v="8"/>
    <x v="3"/>
    <x v="5"/>
    <x v="1"/>
  </r>
  <r>
    <s v="TX500805"/>
    <x v="1"/>
    <x v="1"/>
    <n v="42.9"/>
    <n v="85.8"/>
    <x v="34"/>
    <d v="2025-02-06T00:00:00"/>
    <s v="F"/>
    <x v="0"/>
    <x v="2"/>
    <x v="0"/>
    <x v="8"/>
    <x v="1"/>
    <x v="5"/>
    <x v="2"/>
  </r>
  <r>
    <s v="TX500806"/>
    <x v="7"/>
    <x v="3"/>
    <n v="55.6"/>
    <n v="389.2"/>
    <x v="34"/>
    <d v="2025-02-06T00:00:00"/>
    <s v="F"/>
    <x v="2"/>
    <x v="1"/>
    <x v="0"/>
    <x v="8"/>
    <x v="1"/>
    <x v="5"/>
    <x v="2"/>
  </r>
  <r>
    <s v="TX500807"/>
    <x v="8"/>
    <x v="12"/>
    <n v="19.2"/>
    <n v="76.8"/>
    <x v="34"/>
    <d v="2025-02-09T00:00:00"/>
    <s v="F"/>
    <x v="0"/>
    <x v="0"/>
    <x v="0"/>
    <x v="41"/>
    <x v="0"/>
    <x v="5"/>
    <x v="2"/>
  </r>
  <r>
    <s v="TX500808"/>
    <x v="5"/>
    <x v="1"/>
    <n v="28.8"/>
    <n v="57.6"/>
    <x v="34"/>
    <d v="2025-02-06T00:00:00"/>
    <s v="M"/>
    <x v="1"/>
    <x v="0"/>
    <x v="0"/>
    <x v="18"/>
    <x v="1"/>
    <x v="5"/>
    <x v="1"/>
  </r>
  <r>
    <s v="TX500809"/>
    <x v="4"/>
    <x v="0"/>
    <n v="29.7"/>
    <n v="29.7"/>
    <x v="34"/>
    <d v="2025-02-06T00:00:00"/>
    <s v="F"/>
    <x v="2"/>
    <x v="4"/>
    <x v="0"/>
    <x v="20"/>
    <x v="1"/>
    <x v="5"/>
    <x v="2"/>
  </r>
  <r>
    <s v="TX500810"/>
    <x v="6"/>
    <x v="13"/>
    <n v="63.3"/>
    <n v="379.79999999999995"/>
    <x v="34"/>
    <d v="2025-02-05T00:00:00"/>
    <s v=""/>
    <x v="0"/>
    <x v="2"/>
    <x v="0"/>
    <x v="21"/>
    <x v="3"/>
    <x v="5"/>
    <x v="0"/>
  </r>
  <r>
    <s v="TX500811"/>
    <x v="4"/>
    <x v="0"/>
    <n v="46"/>
    <n v="46"/>
    <x v="34"/>
    <d v="2025-02-05T00:00:00"/>
    <s v="F"/>
    <x v="0"/>
    <x v="2"/>
    <x v="0"/>
    <x v="21"/>
    <x v="3"/>
    <x v="5"/>
    <x v="2"/>
  </r>
  <r>
    <s v="TX500812"/>
    <x v="11"/>
    <x v="2"/>
    <n v="38"/>
    <n v="114"/>
    <x v="34"/>
    <d v="2025-02-06T00:00:00"/>
    <s v="F"/>
    <x v="1"/>
    <x v="2"/>
    <x v="0"/>
    <x v="21"/>
    <x v="1"/>
    <x v="5"/>
    <x v="2"/>
  </r>
  <r>
    <s v="TX500813"/>
    <x v="10"/>
    <x v="15"/>
    <n v="34.6"/>
    <n v="449.8"/>
    <x v="34"/>
    <d v="2025-02-06T00:00:00"/>
    <s v="F"/>
    <x v="0"/>
    <x v="1"/>
    <x v="0"/>
    <x v="21"/>
    <x v="1"/>
    <x v="5"/>
    <x v="2"/>
  </r>
  <r>
    <s v="TX500814"/>
    <x v="3"/>
    <x v="7"/>
    <n v="79.7"/>
    <n v="797"/>
    <x v="34"/>
    <d v="2025-02-05T00:00:00"/>
    <s v="F"/>
    <x v="4"/>
    <x v="1"/>
    <x v="0"/>
    <x v="21"/>
    <x v="3"/>
    <x v="5"/>
    <x v="2"/>
  </r>
  <r>
    <s v="TX500815"/>
    <x v="8"/>
    <x v="8"/>
    <n v="30.5"/>
    <n v="244"/>
    <x v="34"/>
    <d v="2025-02-08T00:00:00"/>
    <s v="M"/>
    <x v="3"/>
    <x v="0"/>
    <x v="0"/>
    <x v="1"/>
    <x v="5"/>
    <x v="5"/>
    <x v="1"/>
  </r>
  <r>
    <s v="TX500816"/>
    <x v="0"/>
    <x v="1"/>
    <n v="20.8"/>
    <n v="41.6"/>
    <x v="34"/>
    <d v="2025-02-05T00:00:00"/>
    <s v="F"/>
    <x v="0"/>
    <x v="0"/>
    <x v="0"/>
    <x v="2"/>
    <x v="3"/>
    <x v="5"/>
    <x v="2"/>
  </r>
  <r>
    <s v="TX500817"/>
    <x v="11"/>
    <x v="3"/>
    <n v="48.5"/>
    <n v="339.5"/>
    <x v="34"/>
    <d v="2025-02-08T00:00:00"/>
    <s v="F"/>
    <x v="2"/>
    <x v="2"/>
    <x v="0"/>
    <x v="2"/>
    <x v="5"/>
    <x v="5"/>
    <x v="2"/>
  </r>
  <r>
    <s v="TX500818"/>
    <x v="2"/>
    <x v="12"/>
    <n v="61.8"/>
    <n v="247.2"/>
    <x v="34"/>
    <d v="2025-02-08T00:00:00"/>
    <s v="F"/>
    <x v="4"/>
    <x v="0"/>
    <x v="0"/>
    <x v="22"/>
    <x v="5"/>
    <x v="5"/>
    <x v="2"/>
  </r>
  <r>
    <s v="TX500819"/>
    <x v="10"/>
    <x v="0"/>
    <n v="46.1"/>
    <n v="46.1"/>
    <x v="34"/>
    <d v="2025-02-05T00:00:00"/>
    <s v="O"/>
    <x v="2"/>
    <x v="0"/>
    <x v="0"/>
    <x v="3"/>
    <x v="3"/>
    <x v="5"/>
    <x v="3"/>
  </r>
  <r>
    <s v="TX500820"/>
    <x v="4"/>
    <x v="13"/>
    <n v="44"/>
    <n v="264"/>
    <x v="34"/>
    <d v="2025-02-05T00:00:00"/>
    <s v="F"/>
    <x v="0"/>
    <x v="0"/>
    <x v="0"/>
    <x v="3"/>
    <x v="3"/>
    <x v="5"/>
    <x v="2"/>
  </r>
  <r>
    <s v="TX500821"/>
    <x v="18"/>
    <x v="1"/>
    <n v="95.7"/>
    <n v="191.4"/>
    <x v="34"/>
    <d v="2025-02-10T00:00:00"/>
    <s v="F"/>
    <x v="3"/>
    <x v="2"/>
    <x v="0"/>
    <x v="3"/>
    <x v="4"/>
    <x v="5"/>
    <x v="2"/>
  </r>
  <r>
    <s v="TX500822"/>
    <x v="7"/>
    <x v="9"/>
    <n v="46.4"/>
    <n v="232"/>
    <x v="34"/>
    <d v="2025-02-07T00:00:00"/>
    <s v="F"/>
    <x v="0"/>
    <x v="0"/>
    <x v="0"/>
    <x v="3"/>
    <x v="2"/>
    <x v="5"/>
    <x v="2"/>
  </r>
  <r>
    <s v="TX500823"/>
    <x v="6"/>
    <x v="1"/>
    <n v="47.2"/>
    <n v="94.4"/>
    <x v="34"/>
    <d v="2025-02-06T00:00:00"/>
    <s v="F"/>
    <x v="0"/>
    <x v="2"/>
    <x v="0"/>
    <x v="3"/>
    <x v="1"/>
    <x v="5"/>
    <x v="2"/>
  </r>
  <r>
    <s v="TX500824"/>
    <x v="7"/>
    <x v="1"/>
    <n v="58.6"/>
    <n v="117.2"/>
    <x v="34"/>
    <d v="2025-02-05T00:00:00"/>
    <s v="F"/>
    <x v="2"/>
    <x v="1"/>
    <x v="0"/>
    <x v="3"/>
    <x v="3"/>
    <x v="5"/>
    <x v="2"/>
  </r>
  <r>
    <s v="TX500825"/>
    <x v="4"/>
    <x v="2"/>
    <n v="57"/>
    <n v="171"/>
    <x v="34"/>
    <d v="2025-02-05T00:00:00"/>
    <s v="M"/>
    <x v="0"/>
    <x v="2"/>
    <x v="0"/>
    <x v="3"/>
    <x v="3"/>
    <x v="5"/>
    <x v="1"/>
  </r>
  <r>
    <s v="TX500826"/>
    <x v="8"/>
    <x v="12"/>
    <n v="28.9"/>
    <n v="115.6"/>
    <x v="34"/>
    <d v="2025-02-08T00:00:00"/>
    <s v="M"/>
    <x v="2"/>
    <x v="0"/>
    <x v="0"/>
    <x v="3"/>
    <x v="5"/>
    <x v="5"/>
    <x v="1"/>
  </r>
  <r>
    <s v="TX500827"/>
    <x v="12"/>
    <x v="9"/>
    <n v="60.7"/>
    <n v="303.5"/>
    <x v="34"/>
    <d v="2025-02-08T00:00:00"/>
    <s v=""/>
    <x v="1"/>
    <x v="1"/>
    <x v="0"/>
    <x v="3"/>
    <x v="5"/>
    <x v="5"/>
    <x v="0"/>
  </r>
  <r>
    <s v="TX500828"/>
    <x v="6"/>
    <x v="9"/>
    <n v="60.8"/>
    <n v="304"/>
    <x v="34"/>
    <d v="2025-02-08T00:00:00"/>
    <s v="M"/>
    <x v="0"/>
    <x v="1"/>
    <x v="0"/>
    <x v="3"/>
    <x v="5"/>
    <x v="5"/>
    <x v="1"/>
  </r>
  <r>
    <s v="TX500829"/>
    <x v="6"/>
    <x v="9"/>
    <n v="64.599999999999994"/>
    <n v="323"/>
    <x v="34"/>
    <d v="2025-02-05T00:00:00"/>
    <s v="F"/>
    <x v="3"/>
    <x v="0"/>
    <x v="0"/>
    <x v="3"/>
    <x v="3"/>
    <x v="5"/>
    <x v="2"/>
  </r>
  <r>
    <s v="TX500830"/>
    <x v="8"/>
    <x v="0"/>
    <n v="21.9"/>
    <n v="21.9"/>
    <x v="34"/>
    <d v="2025-02-07T00:00:00"/>
    <s v="M"/>
    <x v="1"/>
    <x v="2"/>
    <x v="0"/>
    <x v="4"/>
    <x v="2"/>
    <x v="5"/>
    <x v="1"/>
  </r>
  <r>
    <s v="TX500831"/>
    <x v="4"/>
    <x v="4"/>
    <n v="33.4"/>
    <n v="400.79999999999995"/>
    <x v="34"/>
    <d v="2025-02-06T00:00:00"/>
    <s v="F"/>
    <x v="0"/>
    <x v="0"/>
    <x v="0"/>
    <x v="23"/>
    <x v="1"/>
    <x v="5"/>
    <x v="2"/>
  </r>
  <r>
    <s v="TX500832"/>
    <x v="2"/>
    <x v="0"/>
    <n v="51.7"/>
    <n v="51.7"/>
    <x v="34"/>
    <d v="2025-02-05T00:00:00"/>
    <s v=""/>
    <x v="0"/>
    <x v="0"/>
    <x v="0"/>
    <x v="6"/>
    <x v="3"/>
    <x v="5"/>
    <x v="0"/>
  </r>
  <r>
    <s v="TX500833"/>
    <x v="1"/>
    <x v="12"/>
    <n v="84.9"/>
    <n v="339.6"/>
    <x v="34"/>
    <d v="2025-02-05T00:00:00"/>
    <s v="F"/>
    <x v="1"/>
    <x v="1"/>
    <x v="0"/>
    <x v="6"/>
    <x v="3"/>
    <x v="5"/>
    <x v="2"/>
  </r>
  <r>
    <s v="TX500834"/>
    <x v="1"/>
    <x v="5"/>
    <n v="62.3"/>
    <n v="685.3"/>
    <x v="34"/>
    <d v="2025-02-05T00:00:00"/>
    <s v="F"/>
    <x v="2"/>
    <x v="2"/>
    <x v="0"/>
    <x v="7"/>
    <x v="3"/>
    <x v="5"/>
    <x v="2"/>
  </r>
  <r>
    <s v="TX500835"/>
    <x v="4"/>
    <x v="0"/>
    <n v="50.7"/>
    <n v="50.7"/>
    <x v="34"/>
    <d v="2025-02-06T00:00:00"/>
    <s v="M"/>
    <x v="2"/>
    <x v="2"/>
    <x v="0"/>
    <x v="8"/>
    <x v="1"/>
    <x v="5"/>
    <x v="1"/>
  </r>
  <r>
    <s v="TX500836"/>
    <x v="18"/>
    <x v="0"/>
    <n v="39.5"/>
    <n v="39.5"/>
    <x v="34"/>
    <d v="2025-02-05T00:00:00"/>
    <s v="M"/>
    <x v="4"/>
    <x v="1"/>
    <x v="0"/>
    <x v="8"/>
    <x v="3"/>
    <x v="5"/>
    <x v="1"/>
  </r>
  <r>
    <s v="TX500837"/>
    <x v="12"/>
    <x v="2"/>
    <n v="30.9"/>
    <n v="92.699999999999989"/>
    <x v="34"/>
    <d v="2025-02-05T00:00:00"/>
    <s v=""/>
    <x v="4"/>
    <x v="2"/>
    <x v="0"/>
    <x v="8"/>
    <x v="3"/>
    <x v="5"/>
    <x v="0"/>
  </r>
  <r>
    <s v="TX500838"/>
    <x v="1"/>
    <x v="3"/>
    <n v="36.4"/>
    <n v="254.79999999999998"/>
    <x v="34"/>
    <d v="2025-02-07T00:00:00"/>
    <s v="F"/>
    <x v="0"/>
    <x v="2"/>
    <x v="0"/>
    <x v="8"/>
    <x v="2"/>
    <x v="5"/>
    <x v="2"/>
  </r>
  <r>
    <s v="TX500839"/>
    <x v="6"/>
    <x v="8"/>
    <n v="105.6"/>
    <n v="844.8"/>
    <x v="34"/>
    <d v="2025-02-14T00:00:00"/>
    <s v="F"/>
    <x v="0"/>
    <x v="0"/>
    <x v="0"/>
    <x v="8"/>
    <x v="14"/>
    <x v="5"/>
    <x v="2"/>
  </r>
  <r>
    <s v="TX500840"/>
    <x v="8"/>
    <x v="1"/>
    <n v="22.1"/>
    <n v="44.2"/>
    <x v="34"/>
    <d v="2025-02-05T00:00:00"/>
    <s v="F"/>
    <x v="0"/>
    <x v="2"/>
    <x v="0"/>
    <x v="17"/>
    <x v="3"/>
    <x v="5"/>
    <x v="2"/>
  </r>
  <r>
    <s v="TX500841"/>
    <x v="0"/>
    <x v="2"/>
    <n v="22.6"/>
    <n v="67.800000000000011"/>
    <x v="34"/>
    <d v="2025-02-05T00:00:00"/>
    <s v="F"/>
    <x v="2"/>
    <x v="0"/>
    <x v="0"/>
    <x v="17"/>
    <x v="3"/>
    <x v="5"/>
    <x v="2"/>
  </r>
  <r>
    <s v="TX500842"/>
    <x v="10"/>
    <x v="13"/>
    <n v="26.3"/>
    <n v="157.80000000000001"/>
    <x v="34"/>
    <d v="2025-02-04T00:00:00"/>
    <s v="F"/>
    <x v="2"/>
    <x v="0"/>
    <x v="0"/>
    <x v="9"/>
    <x v="7"/>
    <x v="5"/>
    <x v="2"/>
  </r>
  <r>
    <s v="TX500843"/>
    <x v="1"/>
    <x v="12"/>
    <n v="37.799999999999997"/>
    <n v="151.19999999999999"/>
    <x v="34"/>
    <d v="2025-02-05T00:00:00"/>
    <s v="F"/>
    <x v="0"/>
    <x v="2"/>
    <x v="0"/>
    <x v="11"/>
    <x v="3"/>
    <x v="5"/>
    <x v="2"/>
  </r>
  <r>
    <s v="TX500844"/>
    <x v="6"/>
    <x v="14"/>
    <n v="96"/>
    <n v="1632"/>
    <x v="34"/>
    <d v="2025-02-07T00:00:00"/>
    <s v="F"/>
    <x v="4"/>
    <x v="1"/>
    <x v="0"/>
    <x v="18"/>
    <x v="2"/>
    <x v="5"/>
    <x v="2"/>
  </r>
  <r>
    <s v="TX500845"/>
    <x v="1"/>
    <x v="0"/>
    <n v="83.6"/>
    <n v="83.6"/>
    <x v="34"/>
    <d v="2025-02-07T00:00:00"/>
    <s v="F"/>
    <x v="2"/>
    <x v="1"/>
    <x v="0"/>
    <x v="19"/>
    <x v="2"/>
    <x v="5"/>
    <x v="2"/>
  </r>
  <r>
    <s v="TX500846"/>
    <x v="2"/>
    <x v="13"/>
    <n v="72.599999999999994"/>
    <n v="435.59999999999997"/>
    <x v="34"/>
    <d v="2025-02-05T00:00:00"/>
    <s v="F"/>
    <x v="0"/>
    <x v="0"/>
    <x v="0"/>
    <x v="21"/>
    <x v="3"/>
    <x v="5"/>
    <x v="2"/>
  </r>
  <r>
    <s v="TX500847"/>
    <x v="5"/>
    <x v="28"/>
    <n v="69.099999999999994"/>
    <n v="1382"/>
    <x v="35"/>
    <d v="2025-02-11T00:00:00"/>
    <s v="M"/>
    <x v="0"/>
    <x v="2"/>
    <x v="0"/>
    <x v="21"/>
    <x v="4"/>
    <x v="5"/>
    <x v="1"/>
  </r>
  <r>
    <s v="TX500848"/>
    <x v="4"/>
    <x v="1"/>
    <n v="22.6"/>
    <n v="45.2"/>
    <x v="35"/>
    <d v="2025-02-07T00:00:00"/>
    <s v="F"/>
    <x v="1"/>
    <x v="2"/>
    <x v="0"/>
    <x v="21"/>
    <x v="1"/>
    <x v="5"/>
    <x v="2"/>
  </r>
  <r>
    <s v="TX500849"/>
    <x v="6"/>
    <x v="1"/>
    <n v="45.3"/>
    <n v="90.6"/>
    <x v="35"/>
    <d v="2025-02-09T00:00:00"/>
    <s v="M"/>
    <x v="4"/>
    <x v="2"/>
    <x v="0"/>
    <x v="21"/>
    <x v="5"/>
    <x v="5"/>
    <x v="1"/>
  </r>
  <r>
    <s v="TX500850"/>
    <x v="2"/>
    <x v="1"/>
    <n v="115.1"/>
    <n v="230.2"/>
    <x v="35"/>
    <d v="2025-02-06T00:00:00"/>
    <s v="F"/>
    <x v="1"/>
    <x v="0"/>
    <x v="0"/>
    <x v="1"/>
    <x v="3"/>
    <x v="5"/>
    <x v="2"/>
  </r>
  <r>
    <s v="TX500851"/>
    <x v="18"/>
    <x v="12"/>
    <n v="79"/>
    <n v="316"/>
    <x v="35"/>
    <d v="2025-02-07T00:00:00"/>
    <s v="M"/>
    <x v="2"/>
    <x v="4"/>
    <x v="0"/>
    <x v="1"/>
    <x v="1"/>
    <x v="5"/>
    <x v="1"/>
  </r>
  <r>
    <s v="TX500852"/>
    <x v="6"/>
    <x v="9"/>
    <n v="52.8"/>
    <n v="264"/>
    <x v="35"/>
    <d v="2025-02-06T00:00:00"/>
    <s v="F"/>
    <x v="0"/>
    <x v="0"/>
    <x v="0"/>
    <x v="42"/>
    <x v="3"/>
    <x v="5"/>
    <x v="2"/>
  </r>
  <r>
    <s v="TX500853"/>
    <x v="8"/>
    <x v="1"/>
    <n v="34.1"/>
    <n v="68.2"/>
    <x v="35"/>
    <d v="2025-02-06T00:00:00"/>
    <s v="M"/>
    <x v="3"/>
    <x v="2"/>
    <x v="0"/>
    <x v="44"/>
    <x v="3"/>
    <x v="5"/>
    <x v="1"/>
  </r>
  <r>
    <s v="TX500854"/>
    <x v="6"/>
    <x v="9"/>
    <n v="107.9"/>
    <n v="539.5"/>
    <x v="35"/>
    <d v="2025-02-05T00:00:00"/>
    <s v="F"/>
    <x v="0"/>
    <x v="2"/>
    <x v="0"/>
    <x v="50"/>
    <x v="7"/>
    <x v="5"/>
    <x v="2"/>
  </r>
  <r>
    <s v="TX500855"/>
    <x v="8"/>
    <x v="15"/>
    <n v="48.5"/>
    <n v="630.5"/>
    <x v="35"/>
    <d v="2025-02-05T00:00:00"/>
    <s v="M"/>
    <x v="2"/>
    <x v="2"/>
    <x v="0"/>
    <x v="3"/>
    <x v="7"/>
    <x v="5"/>
    <x v="1"/>
  </r>
  <r>
    <s v="TX500856"/>
    <x v="5"/>
    <x v="2"/>
    <n v="34.700000000000003"/>
    <n v="104.10000000000001"/>
    <x v="35"/>
    <d v="2025-02-06T00:00:00"/>
    <s v=""/>
    <x v="4"/>
    <x v="1"/>
    <x v="0"/>
    <x v="3"/>
    <x v="3"/>
    <x v="5"/>
    <x v="0"/>
  </r>
  <r>
    <s v="TX500857"/>
    <x v="8"/>
    <x v="0"/>
    <n v="16.8"/>
    <n v="16.8"/>
    <x v="35"/>
    <d v="2025-02-07T00:00:00"/>
    <s v="F"/>
    <x v="3"/>
    <x v="0"/>
    <x v="0"/>
    <x v="3"/>
    <x v="1"/>
    <x v="5"/>
    <x v="2"/>
  </r>
  <r>
    <s v="TX500858"/>
    <x v="8"/>
    <x v="13"/>
    <n v="18.3"/>
    <n v="109.80000000000001"/>
    <x v="35"/>
    <d v="2025-02-08T00:00:00"/>
    <s v="F"/>
    <x v="0"/>
    <x v="0"/>
    <x v="0"/>
    <x v="3"/>
    <x v="2"/>
    <x v="5"/>
    <x v="2"/>
  </r>
  <r>
    <s v="TX500859"/>
    <x v="18"/>
    <x v="2"/>
    <n v="55.9"/>
    <n v="167.7"/>
    <x v="35"/>
    <d v="2025-02-11T00:00:00"/>
    <s v="M"/>
    <x v="3"/>
    <x v="1"/>
    <x v="0"/>
    <x v="3"/>
    <x v="4"/>
    <x v="5"/>
    <x v="1"/>
  </r>
  <r>
    <s v="TX500860"/>
    <x v="8"/>
    <x v="2"/>
    <n v="39.200000000000003"/>
    <n v="117.60000000000001"/>
    <x v="35"/>
    <d v="2025-02-07T00:00:00"/>
    <s v="F"/>
    <x v="0"/>
    <x v="1"/>
    <x v="0"/>
    <x v="3"/>
    <x v="1"/>
    <x v="5"/>
    <x v="2"/>
  </r>
  <r>
    <s v="TX500861"/>
    <x v="15"/>
    <x v="12"/>
    <n v="66.5"/>
    <n v="266"/>
    <x v="35"/>
    <d v="2025-02-07T00:00:00"/>
    <s v=""/>
    <x v="3"/>
    <x v="1"/>
    <x v="0"/>
    <x v="3"/>
    <x v="1"/>
    <x v="5"/>
    <x v="0"/>
  </r>
  <r>
    <s v="TX500862"/>
    <x v="6"/>
    <x v="13"/>
    <n v="52.1"/>
    <n v="312.60000000000002"/>
    <x v="35"/>
    <d v="2025-02-07T00:00:00"/>
    <s v="M"/>
    <x v="1"/>
    <x v="1"/>
    <x v="0"/>
    <x v="16"/>
    <x v="1"/>
    <x v="5"/>
    <x v="1"/>
  </r>
  <r>
    <s v="TX500863"/>
    <x v="8"/>
    <x v="1"/>
    <n v="19"/>
    <n v="38"/>
    <x v="35"/>
    <d v="2025-02-06T00:00:00"/>
    <s v="M"/>
    <x v="4"/>
    <x v="2"/>
    <x v="0"/>
    <x v="6"/>
    <x v="3"/>
    <x v="5"/>
    <x v="1"/>
  </r>
  <r>
    <s v="TX500864"/>
    <x v="7"/>
    <x v="2"/>
    <n v="84.8"/>
    <n v="254.39999999999998"/>
    <x v="35"/>
    <d v="2025-02-07T00:00:00"/>
    <s v="F"/>
    <x v="2"/>
    <x v="0"/>
    <x v="0"/>
    <x v="8"/>
    <x v="1"/>
    <x v="5"/>
    <x v="2"/>
  </r>
  <r>
    <s v="TX500865"/>
    <x v="2"/>
    <x v="12"/>
    <n v="63.9"/>
    <n v="255.6"/>
    <x v="35"/>
    <d v="2025-02-08T00:00:00"/>
    <s v="F"/>
    <x v="0"/>
    <x v="0"/>
    <x v="0"/>
    <x v="8"/>
    <x v="2"/>
    <x v="5"/>
    <x v="2"/>
  </r>
  <r>
    <s v="TX500866"/>
    <x v="2"/>
    <x v="2"/>
    <n v="65.5"/>
    <n v="196.5"/>
    <x v="35"/>
    <d v="2025-02-05T00:00:00"/>
    <s v="F"/>
    <x v="1"/>
    <x v="1"/>
    <x v="0"/>
    <x v="8"/>
    <x v="7"/>
    <x v="5"/>
    <x v="2"/>
  </r>
  <r>
    <s v="TX500867"/>
    <x v="12"/>
    <x v="1"/>
    <n v="116.2"/>
    <n v="232.4"/>
    <x v="35"/>
    <d v="2025-02-11T00:00:00"/>
    <s v="M"/>
    <x v="3"/>
    <x v="0"/>
    <x v="0"/>
    <x v="17"/>
    <x v="4"/>
    <x v="5"/>
    <x v="1"/>
  </r>
  <r>
    <s v="TX500868"/>
    <x v="10"/>
    <x v="12"/>
    <n v="22.9"/>
    <n v="91.6"/>
    <x v="35"/>
    <d v="2025-02-07T00:00:00"/>
    <s v="F"/>
    <x v="2"/>
    <x v="1"/>
    <x v="0"/>
    <x v="38"/>
    <x v="1"/>
    <x v="5"/>
    <x v="2"/>
  </r>
  <r>
    <s v="TX500869"/>
    <x v="10"/>
    <x v="2"/>
    <n v="53.7"/>
    <n v="161.10000000000002"/>
    <x v="35"/>
    <d v="2025-02-06T00:00:00"/>
    <s v="M"/>
    <x v="0"/>
    <x v="4"/>
    <x v="0"/>
    <x v="18"/>
    <x v="3"/>
    <x v="5"/>
    <x v="1"/>
  </r>
  <r>
    <s v="TX500870"/>
    <x v="6"/>
    <x v="9"/>
    <n v="43.2"/>
    <n v="216"/>
    <x v="35"/>
    <d v="2025-02-07T00:00:00"/>
    <s v="F"/>
    <x v="0"/>
    <x v="0"/>
    <x v="0"/>
    <x v="19"/>
    <x v="1"/>
    <x v="5"/>
    <x v="2"/>
  </r>
  <r>
    <s v="TX500871"/>
    <x v="1"/>
    <x v="2"/>
    <n v="84.5"/>
    <n v="253.5"/>
    <x v="35"/>
    <d v="2025-02-07T00:00:00"/>
    <s v="M"/>
    <x v="2"/>
    <x v="2"/>
    <x v="0"/>
    <x v="51"/>
    <x v="1"/>
    <x v="5"/>
    <x v="1"/>
  </r>
  <r>
    <s v="TX500872"/>
    <x v="3"/>
    <x v="1"/>
    <n v="42.2"/>
    <n v="84.4"/>
    <x v="35"/>
    <d v="2025-02-06T00:00:00"/>
    <s v="F"/>
    <x v="1"/>
    <x v="2"/>
    <x v="0"/>
    <x v="1"/>
    <x v="3"/>
    <x v="5"/>
    <x v="2"/>
  </r>
  <r>
    <s v="TX500873"/>
    <x v="2"/>
    <x v="13"/>
    <n v="94.7"/>
    <n v="568.20000000000005"/>
    <x v="35"/>
    <d v="2025-02-08T00:00:00"/>
    <s v="F"/>
    <x v="1"/>
    <x v="2"/>
    <x v="0"/>
    <x v="2"/>
    <x v="2"/>
    <x v="5"/>
    <x v="2"/>
  </r>
  <r>
    <s v="TX500874"/>
    <x v="8"/>
    <x v="16"/>
    <n v="16.7"/>
    <n v="300.59999999999997"/>
    <x v="35"/>
    <d v="2025-02-17T00:00:00"/>
    <s v="F"/>
    <x v="0"/>
    <x v="2"/>
    <x v="0"/>
    <x v="2"/>
    <x v="13"/>
    <x v="5"/>
    <x v="2"/>
  </r>
  <r>
    <s v="TX500875"/>
    <x v="2"/>
    <x v="1"/>
    <n v="83.6"/>
    <n v="167.2"/>
    <x v="35"/>
    <d v="2025-02-11T00:00:00"/>
    <s v="F"/>
    <x v="1"/>
    <x v="0"/>
    <x v="0"/>
    <x v="3"/>
    <x v="4"/>
    <x v="5"/>
    <x v="2"/>
  </r>
  <r>
    <s v="TX500876"/>
    <x v="7"/>
    <x v="13"/>
    <n v="33.6"/>
    <n v="201.60000000000002"/>
    <x v="36"/>
    <d v="2025-02-07T00:00:00"/>
    <s v="F"/>
    <x v="3"/>
    <x v="0"/>
    <x v="0"/>
    <x v="3"/>
    <x v="3"/>
    <x v="5"/>
    <x v="2"/>
  </r>
  <r>
    <s v="TX500877"/>
    <x v="7"/>
    <x v="1"/>
    <n v="64.7"/>
    <n v="129.4"/>
    <x v="36"/>
    <d v="2025-02-08T00:00:00"/>
    <s v="M"/>
    <x v="1"/>
    <x v="2"/>
    <x v="0"/>
    <x v="3"/>
    <x v="1"/>
    <x v="5"/>
    <x v="1"/>
  </r>
  <r>
    <s v="TX500878"/>
    <x v="0"/>
    <x v="2"/>
    <n v="15.7"/>
    <n v="47.099999999999994"/>
    <x v="36"/>
    <d v="2025-02-12T00:00:00"/>
    <s v="F"/>
    <x v="0"/>
    <x v="0"/>
    <x v="0"/>
    <x v="3"/>
    <x v="4"/>
    <x v="5"/>
    <x v="2"/>
  </r>
  <r>
    <s v="TX500879"/>
    <x v="15"/>
    <x v="13"/>
    <n v="49.4"/>
    <n v="296.39999999999998"/>
    <x v="36"/>
    <d v="2025-02-06T00:00:00"/>
    <s v="M"/>
    <x v="1"/>
    <x v="0"/>
    <x v="0"/>
    <x v="3"/>
    <x v="7"/>
    <x v="5"/>
    <x v="1"/>
  </r>
  <r>
    <s v="TX500880"/>
    <x v="10"/>
    <x v="13"/>
    <n v="37"/>
    <n v="222"/>
    <x v="36"/>
    <d v="2025-02-09T00:00:00"/>
    <s v="F"/>
    <x v="1"/>
    <x v="2"/>
    <x v="0"/>
    <x v="3"/>
    <x v="2"/>
    <x v="5"/>
    <x v="2"/>
  </r>
  <r>
    <s v="TX500881"/>
    <x v="2"/>
    <x v="1"/>
    <n v="83.7"/>
    <n v="167.4"/>
    <x v="36"/>
    <d v="2025-02-08T00:00:00"/>
    <s v="F"/>
    <x v="3"/>
    <x v="2"/>
    <x v="0"/>
    <x v="3"/>
    <x v="1"/>
    <x v="5"/>
    <x v="2"/>
  </r>
  <r>
    <s v="TX500882"/>
    <x v="1"/>
    <x v="9"/>
    <n v="35.1"/>
    <n v="175.5"/>
    <x v="36"/>
    <d v="2025-02-07T00:00:00"/>
    <s v="F"/>
    <x v="0"/>
    <x v="0"/>
    <x v="0"/>
    <x v="3"/>
    <x v="3"/>
    <x v="5"/>
    <x v="2"/>
  </r>
  <r>
    <s v="TX500883"/>
    <x v="16"/>
    <x v="8"/>
    <n v="74"/>
    <n v="592"/>
    <x v="36"/>
    <d v="2025-02-07T00:00:00"/>
    <s v="F"/>
    <x v="4"/>
    <x v="0"/>
    <x v="0"/>
    <x v="37"/>
    <x v="3"/>
    <x v="5"/>
    <x v="2"/>
  </r>
  <r>
    <s v="TX500884"/>
    <x v="6"/>
    <x v="25"/>
    <n v="55.5"/>
    <n v="1332"/>
    <x v="36"/>
    <d v="2025-02-09T00:00:00"/>
    <s v="M"/>
    <x v="3"/>
    <x v="0"/>
    <x v="0"/>
    <x v="49"/>
    <x v="2"/>
    <x v="5"/>
    <x v="1"/>
  </r>
  <r>
    <s v="TX500885"/>
    <x v="11"/>
    <x v="1"/>
    <n v="38.9"/>
    <n v="77.8"/>
    <x v="36"/>
    <d v="2025-02-08T00:00:00"/>
    <s v="F"/>
    <x v="1"/>
    <x v="2"/>
    <x v="0"/>
    <x v="25"/>
    <x v="1"/>
    <x v="5"/>
    <x v="2"/>
  </r>
  <r>
    <s v="TX500886"/>
    <x v="16"/>
    <x v="1"/>
    <n v="64.599999999999994"/>
    <n v="129.19999999999999"/>
    <x v="36"/>
    <d v="2025-02-13T00:00:00"/>
    <s v="M"/>
    <x v="2"/>
    <x v="1"/>
    <x v="0"/>
    <x v="25"/>
    <x v="6"/>
    <x v="5"/>
    <x v="1"/>
  </r>
  <r>
    <s v="TX500887"/>
    <x v="2"/>
    <x v="2"/>
    <n v="95.3"/>
    <n v="285.89999999999998"/>
    <x v="36"/>
    <d v="2025-02-07T00:00:00"/>
    <s v="M"/>
    <x v="0"/>
    <x v="0"/>
    <x v="0"/>
    <x v="5"/>
    <x v="3"/>
    <x v="5"/>
    <x v="1"/>
  </r>
  <r>
    <s v="TX500888"/>
    <x v="13"/>
    <x v="2"/>
    <n v="25.8"/>
    <n v="77.400000000000006"/>
    <x v="36"/>
    <d v="2025-02-07T00:00:00"/>
    <s v="F"/>
    <x v="1"/>
    <x v="1"/>
    <x v="0"/>
    <x v="6"/>
    <x v="3"/>
    <x v="5"/>
    <x v="2"/>
  </r>
  <r>
    <s v="TX500889"/>
    <x v="0"/>
    <x v="1"/>
    <n v="11.6"/>
    <n v="23.2"/>
    <x v="36"/>
    <d v="2025-02-10T00:00:00"/>
    <s v="F"/>
    <x v="1"/>
    <x v="1"/>
    <x v="0"/>
    <x v="6"/>
    <x v="5"/>
    <x v="5"/>
    <x v="2"/>
  </r>
  <r>
    <s v="TX500890"/>
    <x v="7"/>
    <x v="0"/>
    <n v="52.3"/>
    <n v="52.3"/>
    <x v="36"/>
    <d v="2025-02-07T00:00:00"/>
    <s v="F"/>
    <x v="1"/>
    <x v="0"/>
    <x v="0"/>
    <x v="8"/>
    <x v="3"/>
    <x v="5"/>
    <x v="2"/>
  </r>
  <r>
    <s v="TX500891"/>
    <x v="2"/>
    <x v="7"/>
    <n v="112.2"/>
    <n v="1122"/>
    <x v="36"/>
    <d v="2025-02-07T00:00:00"/>
    <s v="F"/>
    <x v="1"/>
    <x v="1"/>
    <x v="0"/>
    <x v="8"/>
    <x v="3"/>
    <x v="5"/>
    <x v="2"/>
  </r>
  <r>
    <s v="TX500892"/>
    <x v="4"/>
    <x v="9"/>
    <n v="34.6"/>
    <n v="173"/>
    <x v="36"/>
    <d v="2025-02-08T00:00:00"/>
    <s v="M"/>
    <x v="2"/>
    <x v="0"/>
    <x v="0"/>
    <x v="8"/>
    <x v="1"/>
    <x v="5"/>
    <x v="1"/>
  </r>
  <r>
    <s v="TX500893"/>
    <x v="14"/>
    <x v="12"/>
    <n v="20.100000000000001"/>
    <n v="80.400000000000006"/>
    <x v="36"/>
    <d v="2025-02-12T00:00:00"/>
    <s v="M"/>
    <x v="1"/>
    <x v="2"/>
    <x v="0"/>
    <x v="8"/>
    <x v="4"/>
    <x v="5"/>
    <x v="1"/>
  </r>
  <r>
    <s v="TX500894"/>
    <x v="2"/>
    <x v="12"/>
    <n v="56.4"/>
    <n v="225.6"/>
    <x v="36"/>
    <d v="2025-02-08T00:00:00"/>
    <s v="F"/>
    <x v="2"/>
    <x v="0"/>
    <x v="0"/>
    <x v="10"/>
    <x v="1"/>
    <x v="5"/>
    <x v="2"/>
  </r>
  <r>
    <s v="TX500895"/>
    <x v="13"/>
    <x v="11"/>
    <n v="55.3"/>
    <n v="497.7"/>
    <x v="36"/>
    <d v="2025-02-08T00:00:00"/>
    <s v="F"/>
    <x v="1"/>
    <x v="4"/>
    <x v="0"/>
    <x v="11"/>
    <x v="1"/>
    <x v="5"/>
    <x v="2"/>
  </r>
  <r>
    <s v="TX500896"/>
    <x v="2"/>
    <x v="31"/>
    <n v="75.5"/>
    <n v="2114"/>
    <x v="36"/>
    <d v="2025-02-07T00:00:00"/>
    <s v="F"/>
    <x v="0"/>
    <x v="0"/>
    <x v="0"/>
    <x v="11"/>
    <x v="3"/>
    <x v="5"/>
    <x v="2"/>
  </r>
  <r>
    <s v="TX500897"/>
    <x v="8"/>
    <x v="0"/>
    <n v="23.6"/>
    <n v="23.6"/>
    <x v="36"/>
    <d v="2025-02-11T00:00:00"/>
    <s v="F"/>
    <x v="0"/>
    <x v="0"/>
    <x v="0"/>
    <x v="19"/>
    <x v="0"/>
    <x v="5"/>
    <x v="2"/>
  </r>
  <r>
    <s v="TX500898"/>
    <x v="9"/>
    <x v="1"/>
    <n v="70.7"/>
    <n v="141.4"/>
    <x v="36"/>
    <d v="2025-02-08T00:00:00"/>
    <s v="F"/>
    <x v="2"/>
    <x v="0"/>
    <x v="0"/>
    <x v="19"/>
    <x v="1"/>
    <x v="5"/>
    <x v="2"/>
  </r>
  <r>
    <s v="TX500899"/>
    <x v="12"/>
    <x v="1"/>
    <n v="43.2"/>
    <n v="86.4"/>
    <x v="36"/>
    <d v="2025-02-07T00:00:00"/>
    <s v="F"/>
    <x v="2"/>
    <x v="0"/>
    <x v="0"/>
    <x v="31"/>
    <x v="3"/>
    <x v="5"/>
    <x v="2"/>
  </r>
  <r>
    <s v="TX500900"/>
    <x v="9"/>
    <x v="11"/>
    <n v="70"/>
    <n v="630"/>
    <x v="36"/>
    <d v="2025-02-07T00:00:00"/>
    <s v=""/>
    <x v="1"/>
    <x v="0"/>
    <x v="0"/>
    <x v="52"/>
    <x v="3"/>
    <x v="5"/>
    <x v="0"/>
  </r>
  <r>
    <s v="TX500901"/>
    <x v="0"/>
    <x v="1"/>
    <n v="20.5"/>
    <n v="41"/>
    <x v="36"/>
    <d v="2025-02-08T00:00:00"/>
    <s v="F"/>
    <x v="2"/>
    <x v="4"/>
    <x v="0"/>
    <x v="13"/>
    <x v="1"/>
    <x v="5"/>
    <x v="2"/>
  </r>
  <r>
    <s v="TX500902"/>
    <x v="0"/>
    <x v="12"/>
    <n v="29.1"/>
    <n v="116.4"/>
    <x v="36"/>
    <d v="2025-02-07T00:00:00"/>
    <s v="F"/>
    <x v="3"/>
    <x v="0"/>
    <x v="0"/>
    <x v="28"/>
    <x v="3"/>
    <x v="5"/>
    <x v="2"/>
  </r>
  <r>
    <s v="TX500903"/>
    <x v="6"/>
    <x v="11"/>
    <n v="53.6"/>
    <n v="482.40000000000003"/>
    <x v="36"/>
    <d v="2025-02-07T00:00:00"/>
    <s v="M"/>
    <x v="2"/>
    <x v="1"/>
    <x v="0"/>
    <x v="3"/>
    <x v="3"/>
    <x v="5"/>
    <x v="1"/>
  </r>
  <r>
    <s v="TX500904"/>
    <x v="6"/>
    <x v="9"/>
    <n v="72.3"/>
    <n v="361.5"/>
    <x v="36"/>
    <d v="2025-02-08T00:00:00"/>
    <s v="F"/>
    <x v="1"/>
    <x v="0"/>
    <x v="0"/>
    <x v="3"/>
    <x v="1"/>
    <x v="5"/>
    <x v="2"/>
  </r>
  <r>
    <s v="TX500905"/>
    <x v="13"/>
    <x v="12"/>
    <n v="22.6"/>
    <n v="90.4"/>
    <x v="36"/>
    <d v="2025-02-09T00:00:00"/>
    <s v="O"/>
    <x v="0"/>
    <x v="1"/>
    <x v="0"/>
    <x v="3"/>
    <x v="2"/>
    <x v="5"/>
    <x v="3"/>
  </r>
  <r>
    <s v="TX500906"/>
    <x v="9"/>
    <x v="1"/>
    <n v="44.2"/>
    <n v="88.4"/>
    <x v="36"/>
    <d v="2025-02-10T00:00:00"/>
    <s v=""/>
    <x v="2"/>
    <x v="4"/>
    <x v="0"/>
    <x v="3"/>
    <x v="5"/>
    <x v="5"/>
    <x v="0"/>
  </r>
  <r>
    <s v="TX500907"/>
    <x v="9"/>
    <x v="2"/>
    <n v="94.1"/>
    <n v="282.29999999999995"/>
    <x v="36"/>
    <d v="2025-02-19T00:00:00"/>
    <s v="F"/>
    <x v="2"/>
    <x v="2"/>
    <x v="0"/>
    <x v="3"/>
    <x v="10"/>
    <x v="5"/>
    <x v="2"/>
  </r>
  <r>
    <s v="TX500908"/>
    <x v="8"/>
    <x v="2"/>
    <n v="17.899999999999999"/>
    <n v="53.699999999999996"/>
    <x v="36"/>
    <d v="2025-02-08T00:00:00"/>
    <s v="M"/>
    <x v="1"/>
    <x v="1"/>
    <x v="0"/>
    <x v="3"/>
    <x v="1"/>
    <x v="5"/>
    <x v="1"/>
  </r>
  <r>
    <s v="TX500909"/>
    <x v="12"/>
    <x v="3"/>
    <n v="52.7"/>
    <n v="368.90000000000003"/>
    <x v="36"/>
    <d v="2025-02-07T00:00:00"/>
    <s v="M"/>
    <x v="1"/>
    <x v="1"/>
    <x v="0"/>
    <x v="3"/>
    <x v="3"/>
    <x v="5"/>
    <x v="1"/>
  </r>
  <r>
    <s v="TX500910"/>
    <x v="8"/>
    <x v="0"/>
    <n v="36.799999999999997"/>
    <n v="36.799999999999997"/>
    <x v="36"/>
    <d v="2025-02-06T00:00:00"/>
    <s v=""/>
    <x v="0"/>
    <x v="2"/>
    <x v="0"/>
    <x v="3"/>
    <x v="7"/>
    <x v="5"/>
    <x v="0"/>
  </r>
  <r>
    <s v="TX500911"/>
    <x v="4"/>
    <x v="0"/>
    <n v="52.5"/>
    <n v="52.5"/>
    <x v="36"/>
    <d v="2025-02-07T00:00:00"/>
    <s v="M"/>
    <x v="0"/>
    <x v="1"/>
    <x v="0"/>
    <x v="6"/>
    <x v="3"/>
    <x v="5"/>
    <x v="1"/>
  </r>
  <r>
    <s v="TX500912"/>
    <x v="2"/>
    <x v="1"/>
    <n v="133.80000000000001"/>
    <n v="267.60000000000002"/>
    <x v="36"/>
    <d v="2025-02-08T00:00:00"/>
    <s v="M"/>
    <x v="0"/>
    <x v="1"/>
    <x v="0"/>
    <x v="7"/>
    <x v="1"/>
    <x v="5"/>
    <x v="1"/>
  </r>
  <r>
    <s v="TX500913"/>
    <x v="6"/>
    <x v="1"/>
    <n v="53.2"/>
    <n v="106.4"/>
    <x v="36"/>
    <d v="2025-02-08T00:00:00"/>
    <s v="M"/>
    <x v="0"/>
    <x v="0"/>
    <x v="0"/>
    <x v="17"/>
    <x v="1"/>
    <x v="5"/>
    <x v="1"/>
  </r>
  <r>
    <s v="TX500914"/>
    <x v="14"/>
    <x v="13"/>
    <n v="18.7"/>
    <n v="112.19999999999999"/>
    <x v="36"/>
    <d v="2025-02-08T00:00:00"/>
    <s v=""/>
    <x v="0"/>
    <x v="1"/>
    <x v="0"/>
    <x v="10"/>
    <x v="1"/>
    <x v="5"/>
    <x v="0"/>
  </r>
  <r>
    <s v="TX500915"/>
    <x v="6"/>
    <x v="12"/>
    <n v="108.8"/>
    <n v="435.2"/>
    <x v="36"/>
    <d v="2025-02-07T00:00:00"/>
    <s v="F"/>
    <x v="3"/>
    <x v="2"/>
    <x v="0"/>
    <x v="11"/>
    <x v="3"/>
    <x v="5"/>
    <x v="2"/>
  </r>
  <r>
    <s v="TX500916"/>
    <x v="15"/>
    <x v="9"/>
    <n v="38.5"/>
    <n v="192.5"/>
    <x v="36"/>
    <d v="2025-02-10T00:00:00"/>
    <s v="F"/>
    <x v="0"/>
    <x v="1"/>
    <x v="0"/>
    <x v="14"/>
    <x v="5"/>
    <x v="5"/>
    <x v="2"/>
  </r>
  <r>
    <s v="TX500917"/>
    <x v="10"/>
    <x v="7"/>
    <n v="46.5"/>
    <n v="465"/>
    <x v="36"/>
    <d v="2025-02-08T00:00:00"/>
    <s v="M"/>
    <x v="2"/>
    <x v="1"/>
    <x v="0"/>
    <x v="2"/>
    <x v="1"/>
    <x v="5"/>
    <x v="1"/>
  </r>
  <r>
    <s v="TX500918"/>
    <x v="2"/>
    <x v="2"/>
    <n v="75.8"/>
    <n v="227.39999999999998"/>
    <x v="36"/>
    <d v="2025-02-10T00:00:00"/>
    <s v="F"/>
    <x v="1"/>
    <x v="4"/>
    <x v="0"/>
    <x v="44"/>
    <x v="5"/>
    <x v="5"/>
    <x v="2"/>
  </r>
  <r>
    <s v="TX500919"/>
    <x v="8"/>
    <x v="0"/>
    <n v="20.9"/>
    <n v="20.9"/>
    <x v="36"/>
    <d v="2025-02-10T00:00:00"/>
    <s v="M"/>
    <x v="0"/>
    <x v="0"/>
    <x v="0"/>
    <x v="22"/>
    <x v="5"/>
    <x v="5"/>
    <x v="1"/>
  </r>
  <r>
    <s v="TX500920"/>
    <x v="18"/>
    <x v="2"/>
    <n v="47.4"/>
    <n v="142.19999999999999"/>
    <x v="36"/>
    <d v="2025-02-09T00:00:00"/>
    <s v="F"/>
    <x v="0"/>
    <x v="0"/>
    <x v="0"/>
    <x v="3"/>
    <x v="2"/>
    <x v="5"/>
    <x v="2"/>
  </r>
  <r>
    <s v="TX500921"/>
    <x v="9"/>
    <x v="1"/>
    <n v="53.8"/>
    <n v="107.6"/>
    <x v="36"/>
    <d v="2025-02-07T00:00:00"/>
    <s v=""/>
    <x v="0"/>
    <x v="1"/>
    <x v="0"/>
    <x v="3"/>
    <x v="3"/>
    <x v="5"/>
    <x v="0"/>
  </r>
  <r>
    <s v="TX500922"/>
    <x v="8"/>
    <x v="2"/>
    <n v="24.6"/>
    <n v="73.800000000000011"/>
    <x v="36"/>
    <d v="2025-02-08T00:00:00"/>
    <s v="O"/>
    <x v="1"/>
    <x v="2"/>
    <x v="0"/>
    <x v="3"/>
    <x v="1"/>
    <x v="5"/>
    <x v="3"/>
  </r>
  <r>
    <s v="TX500923"/>
    <x v="9"/>
    <x v="2"/>
    <n v="70.900000000000006"/>
    <n v="212.70000000000002"/>
    <x v="36"/>
    <d v="2025-02-11T00:00:00"/>
    <s v="F"/>
    <x v="2"/>
    <x v="2"/>
    <x v="0"/>
    <x v="3"/>
    <x v="0"/>
    <x v="5"/>
    <x v="2"/>
  </r>
  <r>
    <s v="TX500924"/>
    <x v="17"/>
    <x v="2"/>
    <n v="31.9"/>
    <n v="95.699999999999989"/>
    <x v="36"/>
    <d v="2025-02-08T00:00:00"/>
    <s v="F"/>
    <x v="2"/>
    <x v="2"/>
    <x v="0"/>
    <x v="3"/>
    <x v="1"/>
    <x v="5"/>
    <x v="2"/>
  </r>
  <r>
    <s v="TX500925"/>
    <x v="0"/>
    <x v="1"/>
    <n v="20.399999999999999"/>
    <n v="40.799999999999997"/>
    <x v="36"/>
    <d v="2025-02-10T00:00:00"/>
    <s v="M"/>
    <x v="3"/>
    <x v="2"/>
    <x v="0"/>
    <x v="3"/>
    <x v="5"/>
    <x v="5"/>
    <x v="1"/>
  </r>
  <r>
    <s v="TX500926"/>
    <x v="8"/>
    <x v="1"/>
    <n v="18.600000000000001"/>
    <n v="37.200000000000003"/>
    <x v="36"/>
    <d v="2025-02-08T00:00:00"/>
    <s v=""/>
    <x v="0"/>
    <x v="1"/>
    <x v="0"/>
    <x v="3"/>
    <x v="1"/>
    <x v="5"/>
    <x v="0"/>
  </r>
  <r>
    <s v="TX500927"/>
    <x v="4"/>
    <x v="9"/>
    <n v="48.3"/>
    <n v="241.5"/>
    <x v="36"/>
    <d v="2025-02-08T00:00:00"/>
    <s v="F"/>
    <x v="1"/>
    <x v="0"/>
    <x v="0"/>
    <x v="3"/>
    <x v="1"/>
    <x v="5"/>
    <x v="2"/>
  </r>
  <r>
    <s v="TX500928"/>
    <x v="0"/>
    <x v="12"/>
    <n v="27.7"/>
    <n v="110.8"/>
    <x v="36"/>
    <d v="2025-02-08T00:00:00"/>
    <s v="F"/>
    <x v="0"/>
    <x v="0"/>
    <x v="0"/>
    <x v="3"/>
    <x v="1"/>
    <x v="5"/>
    <x v="2"/>
  </r>
  <r>
    <s v="TX500929"/>
    <x v="4"/>
    <x v="9"/>
    <n v="22.5"/>
    <n v="112.5"/>
    <x v="36"/>
    <d v="2025-02-08T00:00:00"/>
    <s v="F"/>
    <x v="4"/>
    <x v="2"/>
    <x v="0"/>
    <x v="3"/>
    <x v="1"/>
    <x v="5"/>
    <x v="2"/>
  </r>
  <r>
    <s v="TX500930"/>
    <x v="17"/>
    <x v="9"/>
    <n v="21.6"/>
    <n v="108"/>
    <x v="36"/>
    <d v="2025-02-14T00:00:00"/>
    <s v="F"/>
    <x v="0"/>
    <x v="1"/>
    <x v="0"/>
    <x v="3"/>
    <x v="9"/>
    <x v="5"/>
    <x v="2"/>
  </r>
  <r>
    <s v="TX500931"/>
    <x v="10"/>
    <x v="3"/>
    <n v="26.3"/>
    <n v="184.1"/>
    <x v="36"/>
    <d v="2025-02-06T00:00:00"/>
    <s v="F"/>
    <x v="2"/>
    <x v="1"/>
    <x v="0"/>
    <x v="3"/>
    <x v="7"/>
    <x v="5"/>
    <x v="2"/>
  </r>
  <r>
    <s v="TX500932"/>
    <x v="6"/>
    <x v="3"/>
    <n v="103"/>
    <n v="721"/>
    <x v="37"/>
    <d v="2025-02-08T00:00:00"/>
    <s v="M"/>
    <x v="0"/>
    <x v="2"/>
    <x v="0"/>
    <x v="6"/>
    <x v="3"/>
    <x v="5"/>
    <x v="1"/>
  </r>
  <r>
    <s v="TX500933"/>
    <x v="5"/>
    <x v="20"/>
    <n v="46.6"/>
    <n v="699"/>
    <x v="37"/>
    <d v="2025-02-08T00:00:00"/>
    <s v="F"/>
    <x v="0"/>
    <x v="1"/>
    <x v="0"/>
    <x v="6"/>
    <x v="3"/>
    <x v="5"/>
    <x v="2"/>
  </r>
  <r>
    <s v="TX500934"/>
    <x v="0"/>
    <x v="9"/>
    <n v="32.200000000000003"/>
    <n v="161"/>
    <x v="37"/>
    <d v="2025-02-10T00:00:00"/>
    <s v="F"/>
    <x v="0"/>
    <x v="2"/>
    <x v="0"/>
    <x v="36"/>
    <x v="2"/>
    <x v="5"/>
    <x v="2"/>
  </r>
  <r>
    <s v="TX500935"/>
    <x v="8"/>
    <x v="2"/>
    <n v="22"/>
    <n v="66"/>
    <x v="37"/>
    <d v="2025-02-14T00:00:00"/>
    <s v="M"/>
    <x v="1"/>
    <x v="0"/>
    <x v="0"/>
    <x v="7"/>
    <x v="6"/>
    <x v="5"/>
    <x v="1"/>
  </r>
  <r>
    <s v="TX500936"/>
    <x v="0"/>
    <x v="1"/>
    <n v="25.2"/>
    <n v="50.4"/>
    <x v="37"/>
    <d v="2025-02-11T00:00:00"/>
    <s v="F"/>
    <x v="0"/>
    <x v="0"/>
    <x v="0"/>
    <x v="7"/>
    <x v="5"/>
    <x v="5"/>
    <x v="2"/>
  </r>
  <r>
    <s v="TX500937"/>
    <x v="1"/>
    <x v="13"/>
    <n v="68.7"/>
    <n v="412.20000000000005"/>
    <x v="37"/>
    <d v="2025-02-09T00:00:00"/>
    <s v="M"/>
    <x v="4"/>
    <x v="0"/>
    <x v="0"/>
    <x v="8"/>
    <x v="1"/>
    <x v="5"/>
    <x v="1"/>
  </r>
  <r>
    <s v="TX500938"/>
    <x v="0"/>
    <x v="2"/>
    <n v="22.2"/>
    <n v="66.599999999999994"/>
    <x v="37"/>
    <d v="2025-02-10T00:00:00"/>
    <s v="M"/>
    <x v="2"/>
    <x v="2"/>
    <x v="0"/>
    <x v="8"/>
    <x v="2"/>
    <x v="5"/>
    <x v="1"/>
  </r>
  <r>
    <s v="TX500939"/>
    <x v="1"/>
    <x v="3"/>
    <n v="36"/>
    <n v="252"/>
    <x v="37"/>
    <d v="2025-02-08T00:00:00"/>
    <s v="F"/>
    <x v="1"/>
    <x v="0"/>
    <x v="0"/>
    <x v="8"/>
    <x v="3"/>
    <x v="5"/>
    <x v="2"/>
  </r>
  <r>
    <s v="TX500940"/>
    <x v="18"/>
    <x v="0"/>
    <n v="50.6"/>
    <n v="50.6"/>
    <x v="37"/>
    <d v="2025-02-09T00:00:00"/>
    <s v="F"/>
    <x v="0"/>
    <x v="1"/>
    <x v="0"/>
    <x v="8"/>
    <x v="1"/>
    <x v="5"/>
    <x v="2"/>
  </r>
  <r>
    <s v="TX500941"/>
    <x v="15"/>
    <x v="1"/>
    <n v="44.9"/>
    <n v="89.8"/>
    <x v="37"/>
    <d v="2025-02-09T00:00:00"/>
    <s v="M"/>
    <x v="0"/>
    <x v="1"/>
    <x v="0"/>
    <x v="8"/>
    <x v="1"/>
    <x v="5"/>
    <x v="1"/>
  </r>
  <r>
    <s v="TX500942"/>
    <x v="6"/>
    <x v="2"/>
    <n v="71.599999999999994"/>
    <n v="214.79999999999998"/>
    <x v="37"/>
    <d v="2025-02-11T00:00:00"/>
    <s v="M"/>
    <x v="1"/>
    <x v="2"/>
    <x v="0"/>
    <x v="10"/>
    <x v="5"/>
    <x v="5"/>
    <x v="1"/>
  </r>
  <r>
    <s v="TX500943"/>
    <x v="6"/>
    <x v="13"/>
    <n v="51.5"/>
    <n v="309"/>
    <x v="37"/>
    <d v="2025-02-09T00:00:00"/>
    <s v=""/>
    <x v="4"/>
    <x v="0"/>
    <x v="0"/>
    <x v="11"/>
    <x v="1"/>
    <x v="5"/>
    <x v="0"/>
  </r>
  <r>
    <s v="TX500944"/>
    <x v="7"/>
    <x v="9"/>
    <n v="55.5"/>
    <n v="277.5"/>
    <x v="37"/>
    <d v="2025-02-08T00:00:00"/>
    <s v="M"/>
    <x v="1"/>
    <x v="1"/>
    <x v="0"/>
    <x v="11"/>
    <x v="3"/>
    <x v="5"/>
    <x v="1"/>
  </r>
  <r>
    <s v="TX500945"/>
    <x v="6"/>
    <x v="0"/>
    <n v="51.7"/>
    <n v="51.7"/>
    <x v="37"/>
    <d v="2025-02-21T00:00:00"/>
    <s v="M"/>
    <x v="2"/>
    <x v="0"/>
    <x v="0"/>
    <x v="19"/>
    <x v="12"/>
    <x v="5"/>
    <x v="1"/>
  </r>
  <r>
    <s v="TX500946"/>
    <x v="8"/>
    <x v="38"/>
    <n v="45.5"/>
    <n v="955.5"/>
    <x v="37"/>
    <d v="2025-02-08T00:00:00"/>
    <s v="F"/>
    <x v="3"/>
    <x v="2"/>
    <x v="0"/>
    <x v="19"/>
    <x v="3"/>
    <x v="5"/>
    <x v="2"/>
  </r>
  <r>
    <s v="TX500947"/>
    <x v="8"/>
    <x v="1"/>
    <n v="33.799999999999997"/>
    <n v="67.599999999999994"/>
    <x v="37"/>
    <d v="2025-02-13T00:00:00"/>
    <s v="F"/>
    <x v="3"/>
    <x v="0"/>
    <x v="0"/>
    <x v="20"/>
    <x v="4"/>
    <x v="5"/>
    <x v="2"/>
  </r>
  <r>
    <s v="TX500948"/>
    <x v="3"/>
    <x v="2"/>
    <n v="76.5"/>
    <n v="229.5"/>
    <x v="37"/>
    <d v="2025-02-08T00:00:00"/>
    <s v="F"/>
    <x v="0"/>
    <x v="1"/>
    <x v="0"/>
    <x v="21"/>
    <x v="3"/>
    <x v="5"/>
    <x v="2"/>
  </r>
  <r>
    <s v="TX500949"/>
    <x v="9"/>
    <x v="2"/>
    <n v="42.6"/>
    <n v="127.80000000000001"/>
    <x v="37"/>
    <d v="2025-02-13T00:00:00"/>
    <s v="F"/>
    <x v="2"/>
    <x v="2"/>
    <x v="0"/>
    <x v="2"/>
    <x v="4"/>
    <x v="5"/>
    <x v="2"/>
  </r>
  <r>
    <s v="TX500950"/>
    <x v="6"/>
    <x v="2"/>
    <n v="44.1"/>
    <n v="132.30000000000001"/>
    <x v="37"/>
    <d v="2025-02-09T00:00:00"/>
    <s v="F"/>
    <x v="1"/>
    <x v="1"/>
    <x v="0"/>
    <x v="22"/>
    <x v="1"/>
    <x v="5"/>
    <x v="2"/>
  </r>
  <r>
    <s v="TX500951"/>
    <x v="8"/>
    <x v="1"/>
    <n v="40.9"/>
    <n v="81.8"/>
    <x v="37"/>
    <d v="2025-02-11T00:00:00"/>
    <s v="M"/>
    <x v="0"/>
    <x v="0"/>
    <x v="0"/>
    <x v="3"/>
    <x v="5"/>
    <x v="5"/>
    <x v="1"/>
  </r>
  <r>
    <s v="TX500952"/>
    <x v="9"/>
    <x v="2"/>
    <n v="49.1"/>
    <n v="147.30000000000001"/>
    <x v="37"/>
    <d v="2025-02-11T00:00:00"/>
    <s v="F"/>
    <x v="3"/>
    <x v="1"/>
    <x v="0"/>
    <x v="3"/>
    <x v="5"/>
    <x v="5"/>
    <x v="2"/>
  </r>
  <r>
    <s v="TX500953"/>
    <x v="18"/>
    <x v="0"/>
    <n v="85.3"/>
    <n v="85.3"/>
    <x v="37"/>
    <d v="2025-02-11T00:00:00"/>
    <s v="M"/>
    <x v="1"/>
    <x v="1"/>
    <x v="0"/>
    <x v="3"/>
    <x v="5"/>
    <x v="5"/>
    <x v="1"/>
  </r>
  <r>
    <s v="TX500954"/>
    <x v="6"/>
    <x v="12"/>
    <n v="43.1"/>
    <n v="172.4"/>
    <x v="38"/>
    <d v="2025-02-11T00:00:00"/>
    <s v="M"/>
    <x v="0"/>
    <x v="0"/>
    <x v="0"/>
    <x v="3"/>
    <x v="2"/>
    <x v="5"/>
    <x v="1"/>
  </r>
  <r>
    <s v="TX500955"/>
    <x v="4"/>
    <x v="12"/>
    <n v="46.2"/>
    <n v="184.8"/>
    <x v="38"/>
    <d v="2025-02-09T00:00:00"/>
    <s v="M"/>
    <x v="2"/>
    <x v="0"/>
    <x v="0"/>
    <x v="3"/>
    <x v="3"/>
    <x v="5"/>
    <x v="1"/>
  </r>
  <r>
    <s v="TX500956"/>
    <x v="1"/>
    <x v="0"/>
    <n v="74.400000000000006"/>
    <n v="74.400000000000006"/>
    <x v="38"/>
    <d v="2025-02-10T00:00:00"/>
    <s v="M"/>
    <x v="4"/>
    <x v="2"/>
    <x v="0"/>
    <x v="3"/>
    <x v="1"/>
    <x v="5"/>
    <x v="1"/>
  </r>
  <r>
    <s v="TX500957"/>
    <x v="17"/>
    <x v="1"/>
    <n v="51.2"/>
    <n v="102.4"/>
    <x v="38"/>
    <d v="2025-02-09T00:00:00"/>
    <s v="M"/>
    <x v="1"/>
    <x v="0"/>
    <x v="0"/>
    <x v="3"/>
    <x v="3"/>
    <x v="5"/>
    <x v="1"/>
  </r>
  <r>
    <s v="TX500958"/>
    <x v="14"/>
    <x v="12"/>
    <n v="11.8"/>
    <n v="47.2"/>
    <x v="38"/>
    <d v="2025-02-08T00:00:00"/>
    <s v="M"/>
    <x v="2"/>
    <x v="0"/>
    <x v="0"/>
    <x v="3"/>
    <x v="7"/>
    <x v="5"/>
    <x v="1"/>
  </r>
  <r>
    <s v="TX500959"/>
    <x v="10"/>
    <x v="6"/>
    <n v="40.799999999999997"/>
    <n v="1101.5999999999999"/>
    <x v="38"/>
    <d v="2025-02-09T00:00:00"/>
    <s v="F"/>
    <x v="3"/>
    <x v="2"/>
    <x v="0"/>
    <x v="3"/>
    <x v="3"/>
    <x v="5"/>
    <x v="2"/>
  </r>
  <r>
    <s v="TX500960"/>
    <x v="8"/>
    <x v="0"/>
    <n v="24.7"/>
    <n v="24.7"/>
    <x v="38"/>
    <d v="2025-02-10T00:00:00"/>
    <s v="F"/>
    <x v="2"/>
    <x v="1"/>
    <x v="0"/>
    <x v="3"/>
    <x v="1"/>
    <x v="5"/>
    <x v="2"/>
  </r>
  <r>
    <s v="TX500961"/>
    <x v="8"/>
    <x v="3"/>
    <n v="22.1"/>
    <n v="154.70000000000002"/>
    <x v="38"/>
    <d v="2025-02-08T00:00:00"/>
    <s v="F"/>
    <x v="2"/>
    <x v="4"/>
    <x v="0"/>
    <x v="3"/>
    <x v="7"/>
    <x v="5"/>
    <x v="2"/>
  </r>
  <r>
    <s v="TX500962"/>
    <x v="8"/>
    <x v="0"/>
    <n v="18.100000000000001"/>
    <n v="18.100000000000001"/>
    <x v="38"/>
    <d v="2025-02-12T00:00:00"/>
    <s v="M"/>
    <x v="3"/>
    <x v="2"/>
    <x v="0"/>
    <x v="3"/>
    <x v="5"/>
    <x v="5"/>
    <x v="1"/>
  </r>
  <r>
    <s v="TX500963"/>
    <x v="17"/>
    <x v="1"/>
    <n v="58.8"/>
    <n v="117.6"/>
    <x v="38"/>
    <d v="2025-02-11T00:00:00"/>
    <s v="F"/>
    <x v="0"/>
    <x v="0"/>
    <x v="0"/>
    <x v="25"/>
    <x v="2"/>
    <x v="5"/>
    <x v="2"/>
  </r>
  <r>
    <s v="TX500964"/>
    <x v="18"/>
    <x v="1"/>
    <n v="30.8"/>
    <n v="61.6"/>
    <x v="38"/>
    <d v="2025-02-09T00:00:00"/>
    <s v="F"/>
    <x v="0"/>
    <x v="0"/>
    <x v="0"/>
    <x v="6"/>
    <x v="3"/>
    <x v="5"/>
    <x v="2"/>
  </r>
  <r>
    <s v="TX500965"/>
    <x v="0"/>
    <x v="1"/>
    <n v="12"/>
    <n v="24"/>
    <x v="38"/>
    <d v="2025-02-12T00:00:00"/>
    <s v="F"/>
    <x v="0"/>
    <x v="0"/>
    <x v="0"/>
    <x v="6"/>
    <x v="5"/>
    <x v="5"/>
    <x v="2"/>
  </r>
  <r>
    <s v="TX500966"/>
    <x v="0"/>
    <x v="12"/>
    <n v="13.6"/>
    <n v="54.4"/>
    <x v="38"/>
    <d v="2025-02-11T00:00:00"/>
    <s v="M"/>
    <x v="2"/>
    <x v="0"/>
    <x v="0"/>
    <x v="6"/>
    <x v="2"/>
    <x v="5"/>
    <x v="1"/>
  </r>
  <r>
    <s v="TX500967"/>
    <x v="0"/>
    <x v="0"/>
    <n v="17.899999999999999"/>
    <n v="17.899999999999999"/>
    <x v="38"/>
    <d v="2025-02-09T00:00:00"/>
    <s v="M"/>
    <x v="3"/>
    <x v="0"/>
    <x v="0"/>
    <x v="6"/>
    <x v="3"/>
    <x v="5"/>
    <x v="1"/>
  </r>
  <r>
    <s v="TX500968"/>
    <x v="9"/>
    <x v="1"/>
    <n v="38.6"/>
    <n v="77.2"/>
    <x v="38"/>
    <d v="2025-02-12T00:00:00"/>
    <s v="F"/>
    <x v="4"/>
    <x v="0"/>
    <x v="0"/>
    <x v="7"/>
    <x v="5"/>
    <x v="5"/>
    <x v="2"/>
  </r>
  <r>
    <s v="TX500969"/>
    <x v="5"/>
    <x v="9"/>
    <n v="32.700000000000003"/>
    <n v="163.5"/>
    <x v="38"/>
    <d v="2025-02-09T00:00:00"/>
    <s v="M"/>
    <x v="2"/>
    <x v="2"/>
    <x v="0"/>
    <x v="8"/>
    <x v="3"/>
    <x v="5"/>
    <x v="1"/>
  </r>
  <r>
    <s v="TX500970"/>
    <x v="3"/>
    <x v="1"/>
    <n v="111.4"/>
    <n v="222.8"/>
    <x v="38"/>
    <d v="2025-02-09T00:00:00"/>
    <s v="F"/>
    <x v="1"/>
    <x v="0"/>
    <x v="0"/>
    <x v="8"/>
    <x v="3"/>
    <x v="5"/>
    <x v="2"/>
  </r>
  <r>
    <s v="TX500971"/>
    <x v="2"/>
    <x v="13"/>
    <n v="80.3"/>
    <n v="481.79999999999995"/>
    <x v="38"/>
    <d v="2025-02-10T00:00:00"/>
    <s v="F"/>
    <x v="1"/>
    <x v="0"/>
    <x v="0"/>
    <x v="8"/>
    <x v="1"/>
    <x v="5"/>
    <x v="2"/>
  </r>
  <r>
    <s v="TX500972"/>
    <x v="6"/>
    <x v="1"/>
    <n v="58.9"/>
    <n v="117.8"/>
    <x v="38"/>
    <d v="2025-02-09T00:00:00"/>
    <s v="M"/>
    <x v="1"/>
    <x v="0"/>
    <x v="0"/>
    <x v="8"/>
    <x v="3"/>
    <x v="5"/>
    <x v="1"/>
  </r>
  <r>
    <s v="TX500973"/>
    <x v="6"/>
    <x v="2"/>
    <n v="51.9"/>
    <n v="155.69999999999999"/>
    <x v="38"/>
    <d v="2025-02-10T00:00:00"/>
    <s v="F"/>
    <x v="1"/>
    <x v="4"/>
    <x v="0"/>
    <x v="8"/>
    <x v="1"/>
    <x v="5"/>
    <x v="2"/>
  </r>
  <r>
    <s v="TX500974"/>
    <x v="2"/>
    <x v="2"/>
    <n v="50.3"/>
    <n v="150.89999999999998"/>
    <x v="38"/>
    <d v="2025-02-09T00:00:00"/>
    <s v="M"/>
    <x v="2"/>
    <x v="0"/>
    <x v="0"/>
    <x v="17"/>
    <x v="3"/>
    <x v="5"/>
    <x v="1"/>
  </r>
  <r>
    <s v="TX500975"/>
    <x v="11"/>
    <x v="13"/>
    <n v="45"/>
    <n v="270"/>
    <x v="38"/>
    <d v="2025-02-14T00:00:00"/>
    <s v="F"/>
    <x v="3"/>
    <x v="0"/>
    <x v="0"/>
    <x v="9"/>
    <x v="4"/>
    <x v="5"/>
    <x v="2"/>
  </r>
  <r>
    <s v="TX500976"/>
    <x v="10"/>
    <x v="13"/>
    <n v="44.7"/>
    <n v="268.20000000000005"/>
    <x v="38"/>
    <d v="2025-02-10T00:00:00"/>
    <s v="F"/>
    <x v="2"/>
    <x v="0"/>
    <x v="0"/>
    <x v="11"/>
    <x v="1"/>
    <x v="5"/>
    <x v="2"/>
  </r>
  <r>
    <s v="TX500977"/>
    <x v="18"/>
    <x v="20"/>
    <n v="33"/>
    <n v="495"/>
    <x v="38"/>
    <d v="2025-02-09T00:00:00"/>
    <s v="F"/>
    <x v="2"/>
    <x v="0"/>
    <x v="0"/>
    <x v="11"/>
    <x v="3"/>
    <x v="5"/>
    <x v="2"/>
  </r>
  <r>
    <s v="TX500978"/>
    <x v="1"/>
    <x v="9"/>
    <n v="44.9"/>
    <n v="224.5"/>
    <x v="38"/>
    <d v="2025-02-11T00:00:00"/>
    <s v="F"/>
    <x v="2"/>
    <x v="2"/>
    <x v="0"/>
    <x v="18"/>
    <x v="2"/>
    <x v="5"/>
    <x v="2"/>
  </r>
  <r>
    <s v="TX500979"/>
    <x v="10"/>
    <x v="1"/>
    <n v="34.6"/>
    <n v="69.2"/>
    <x v="38"/>
    <d v="2025-02-12T00:00:00"/>
    <s v="F"/>
    <x v="0"/>
    <x v="1"/>
    <x v="0"/>
    <x v="19"/>
    <x v="5"/>
    <x v="5"/>
    <x v="2"/>
  </r>
  <r>
    <s v="TX500980"/>
    <x v="7"/>
    <x v="3"/>
    <n v="47.1"/>
    <n v="329.7"/>
    <x v="38"/>
    <d v="2025-02-13T00:00:00"/>
    <s v="F"/>
    <x v="0"/>
    <x v="0"/>
    <x v="0"/>
    <x v="13"/>
    <x v="0"/>
    <x v="5"/>
    <x v="2"/>
  </r>
  <r>
    <s v="TX500981"/>
    <x v="4"/>
    <x v="9"/>
    <n v="26.1"/>
    <n v="130.5"/>
    <x v="38"/>
    <d v="2025-02-13T00:00:00"/>
    <s v="M"/>
    <x v="0"/>
    <x v="2"/>
    <x v="0"/>
    <x v="21"/>
    <x v="0"/>
    <x v="5"/>
    <x v="1"/>
  </r>
  <r>
    <s v="TX500982"/>
    <x v="12"/>
    <x v="9"/>
    <n v="66.8"/>
    <n v="334"/>
    <x v="38"/>
    <d v="2025-02-11T00:00:00"/>
    <s v="F"/>
    <x v="0"/>
    <x v="0"/>
    <x v="0"/>
    <x v="21"/>
    <x v="2"/>
    <x v="5"/>
    <x v="2"/>
  </r>
  <r>
    <s v="TX500983"/>
    <x v="2"/>
    <x v="1"/>
    <n v="167.9"/>
    <n v="335.8"/>
    <x v="38"/>
    <d v="2025-02-09T00:00:00"/>
    <s v="F"/>
    <x v="3"/>
    <x v="2"/>
    <x v="0"/>
    <x v="21"/>
    <x v="3"/>
    <x v="5"/>
    <x v="2"/>
  </r>
  <r>
    <s v="TX500984"/>
    <x v="10"/>
    <x v="11"/>
    <n v="34.6"/>
    <n v="311.40000000000003"/>
    <x v="38"/>
    <d v="2025-02-09T00:00:00"/>
    <s v="F"/>
    <x v="2"/>
    <x v="1"/>
    <x v="0"/>
    <x v="21"/>
    <x v="3"/>
    <x v="5"/>
    <x v="2"/>
  </r>
  <r>
    <s v="TX500985"/>
    <x v="8"/>
    <x v="2"/>
    <n v="35.1"/>
    <n v="105.30000000000001"/>
    <x v="39"/>
    <d v="2025-02-13T00:00:00"/>
    <s v="M"/>
    <x v="4"/>
    <x v="2"/>
    <x v="0"/>
    <x v="1"/>
    <x v="5"/>
    <x v="6"/>
    <x v="1"/>
  </r>
  <r>
    <s v="TX500986"/>
    <x v="6"/>
    <x v="12"/>
    <n v="104.5"/>
    <n v="418"/>
    <x v="39"/>
    <d v="2025-02-10T00:00:00"/>
    <s v="M"/>
    <x v="1"/>
    <x v="1"/>
    <x v="0"/>
    <x v="1"/>
    <x v="3"/>
    <x v="6"/>
    <x v="1"/>
  </r>
  <r>
    <s v="TX500987"/>
    <x v="8"/>
    <x v="0"/>
    <n v="37.9"/>
    <n v="37.9"/>
    <x v="39"/>
    <d v="2025-02-11T00:00:00"/>
    <s v=""/>
    <x v="1"/>
    <x v="2"/>
    <x v="0"/>
    <x v="2"/>
    <x v="1"/>
    <x v="6"/>
    <x v="0"/>
  </r>
  <r>
    <s v="TX500988"/>
    <x v="4"/>
    <x v="2"/>
    <n v="25.5"/>
    <n v="76.5"/>
    <x v="39"/>
    <d v="2025-02-12T00:00:00"/>
    <s v="M"/>
    <x v="3"/>
    <x v="0"/>
    <x v="0"/>
    <x v="2"/>
    <x v="2"/>
    <x v="6"/>
    <x v="1"/>
  </r>
  <r>
    <s v="TX500989"/>
    <x v="0"/>
    <x v="2"/>
    <n v="32"/>
    <n v="96"/>
    <x v="39"/>
    <d v="2025-02-13T00:00:00"/>
    <s v="F"/>
    <x v="1"/>
    <x v="0"/>
    <x v="0"/>
    <x v="22"/>
    <x v="5"/>
    <x v="6"/>
    <x v="2"/>
  </r>
  <r>
    <s v="TX500990"/>
    <x v="1"/>
    <x v="0"/>
    <n v="47.1"/>
    <n v="47.1"/>
    <x v="39"/>
    <d v="2025-02-10T00:00:00"/>
    <s v="F"/>
    <x v="0"/>
    <x v="0"/>
    <x v="0"/>
    <x v="34"/>
    <x v="3"/>
    <x v="6"/>
    <x v="2"/>
  </r>
  <r>
    <s v="TX500991"/>
    <x v="6"/>
    <x v="1"/>
    <n v="50.6"/>
    <n v="101.2"/>
    <x v="39"/>
    <d v="2025-02-15T00:00:00"/>
    <s v=""/>
    <x v="0"/>
    <x v="0"/>
    <x v="0"/>
    <x v="3"/>
    <x v="4"/>
    <x v="6"/>
    <x v="0"/>
  </r>
  <r>
    <s v="TX500992"/>
    <x v="6"/>
    <x v="9"/>
    <n v="81.7"/>
    <n v="408.5"/>
    <x v="39"/>
    <d v="2025-02-10T00:00:00"/>
    <s v="F"/>
    <x v="1"/>
    <x v="2"/>
    <x v="0"/>
    <x v="3"/>
    <x v="3"/>
    <x v="6"/>
    <x v="2"/>
  </r>
  <r>
    <s v="TX500993"/>
    <x v="5"/>
    <x v="1"/>
    <n v="50.7"/>
    <n v="101.4"/>
    <x v="39"/>
    <d v="2025-02-10T00:00:00"/>
    <s v="O"/>
    <x v="2"/>
    <x v="2"/>
    <x v="0"/>
    <x v="3"/>
    <x v="3"/>
    <x v="6"/>
    <x v="3"/>
  </r>
  <r>
    <s v="TX500994"/>
    <x v="2"/>
    <x v="10"/>
    <n v="67.3"/>
    <n v="1278.7"/>
    <x v="39"/>
    <d v="2025-02-13T00:00:00"/>
    <s v="F"/>
    <x v="2"/>
    <x v="0"/>
    <x v="0"/>
    <x v="3"/>
    <x v="5"/>
    <x v="6"/>
    <x v="2"/>
  </r>
  <r>
    <s v="TX500995"/>
    <x v="2"/>
    <x v="12"/>
    <n v="64.8"/>
    <n v="259.2"/>
    <x v="39"/>
    <d v="2025-02-12T00:00:00"/>
    <s v="F"/>
    <x v="3"/>
    <x v="0"/>
    <x v="0"/>
    <x v="3"/>
    <x v="2"/>
    <x v="6"/>
    <x v="2"/>
  </r>
  <r>
    <s v="TX500996"/>
    <x v="5"/>
    <x v="32"/>
    <n v="61.3"/>
    <n v="1348.6"/>
    <x v="39"/>
    <d v="2025-02-10T00:00:00"/>
    <s v="F"/>
    <x v="0"/>
    <x v="2"/>
    <x v="0"/>
    <x v="3"/>
    <x v="3"/>
    <x v="6"/>
    <x v="2"/>
  </r>
  <r>
    <s v="TX500997"/>
    <x v="14"/>
    <x v="0"/>
    <n v="32.9"/>
    <n v="32.9"/>
    <x v="39"/>
    <d v="2025-02-12T00:00:00"/>
    <s v="F"/>
    <x v="4"/>
    <x v="0"/>
    <x v="0"/>
    <x v="3"/>
    <x v="2"/>
    <x v="6"/>
    <x v="2"/>
  </r>
  <r>
    <s v="TX500998"/>
    <x v="6"/>
    <x v="1"/>
    <n v="100.8"/>
    <n v="201.6"/>
    <x v="39"/>
    <d v="2025-02-12T00:00:00"/>
    <s v="F"/>
    <x v="0"/>
    <x v="0"/>
    <x v="0"/>
    <x v="3"/>
    <x v="2"/>
    <x v="6"/>
    <x v="2"/>
  </r>
  <r>
    <s v="TX500999"/>
    <x v="8"/>
    <x v="12"/>
    <n v="25.1"/>
    <n v="100.4"/>
    <x v="39"/>
    <d v="2025-02-11T00:00:00"/>
    <s v="F"/>
    <x v="1"/>
    <x v="0"/>
    <x v="0"/>
    <x v="3"/>
    <x v="1"/>
    <x v="6"/>
    <x v="2"/>
  </r>
  <r>
    <s v="TX501000"/>
    <x v="17"/>
    <x v="0"/>
    <n v="48.5"/>
    <n v="48.5"/>
    <x v="39"/>
    <d v="2025-02-10T00:00:00"/>
    <s v="F"/>
    <x v="0"/>
    <x v="1"/>
    <x v="0"/>
    <x v="3"/>
    <x v="3"/>
    <x v="6"/>
    <x v="2"/>
  </r>
  <r>
    <s v="TX501001"/>
    <x v="7"/>
    <x v="1"/>
    <n v="33.6"/>
    <n v="67.2"/>
    <x v="39"/>
    <d v="2025-02-13T00:00:00"/>
    <s v="F"/>
    <x v="2"/>
    <x v="2"/>
    <x v="0"/>
    <x v="3"/>
    <x v="5"/>
    <x v="6"/>
    <x v="2"/>
  </r>
  <r>
    <s v="TX501002"/>
    <x v="8"/>
    <x v="0"/>
    <n v="39.299999999999997"/>
    <n v="39.299999999999997"/>
    <x v="39"/>
    <d v="2025-02-20T00:00:00"/>
    <s v="F"/>
    <x v="1"/>
    <x v="1"/>
    <x v="0"/>
    <x v="49"/>
    <x v="11"/>
    <x v="6"/>
    <x v="2"/>
  </r>
  <r>
    <s v="TX501003"/>
    <x v="4"/>
    <x v="7"/>
    <n v="48.8"/>
    <n v="488"/>
    <x v="39"/>
    <d v="2025-02-11T00:00:00"/>
    <s v="F"/>
    <x v="3"/>
    <x v="1"/>
    <x v="0"/>
    <x v="25"/>
    <x v="1"/>
    <x v="6"/>
    <x v="2"/>
  </r>
  <r>
    <s v="TX501004"/>
    <x v="6"/>
    <x v="8"/>
    <n v="72.8"/>
    <n v="582.4"/>
    <x v="39"/>
    <d v="2025-02-11T00:00:00"/>
    <s v="M"/>
    <x v="1"/>
    <x v="2"/>
    <x v="0"/>
    <x v="5"/>
    <x v="1"/>
    <x v="6"/>
    <x v="1"/>
  </r>
  <r>
    <s v="TX501005"/>
    <x v="10"/>
    <x v="8"/>
    <n v="46.2"/>
    <n v="369.6"/>
    <x v="39"/>
    <d v="2025-02-10T00:00:00"/>
    <s v="M"/>
    <x v="3"/>
    <x v="4"/>
    <x v="0"/>
    <x v="5"/>
    <x v="3"/>
    <x v="6"/>
    <x v="1"/>
  </r>
  <r>
    <s v="TX501006"/>
    <x v="4"/>
    <x v="1"/>
    <n v="20.7"/>
    <n v="41.4"/>
    <x v="39"/>
    <d v="2025-02-10T00:00:00"/>
    <s v="F"/>
    <x v="2"/>
    <x v="3"/>
    <x v="0"/>
    <x v="6"/>
    <x v="3"/>
    <x v="6"/>
    <x v="2"/>
  </r>
  <r>
    <s v="TX501007"/>
    <x v="0"/>
    <x v="0"/>
    <n v="35.700000000000003"/>
    <n v="35.700000000000003"/>
    <x v="39"/>
    <d v="2025-02-11T00:00:00"/>
    <s v="F"/>
    <x v="3"/>
    <x v="0"/>
    <x v="0"/>
    <x v="6"/>
    <x v="1"/>
    <x v="6"/>
    <x v="2"/>
  </r>
  <r>
    <s v="TX501008"/>
    <x v="2"/>
    <x v="27"/>
    <n v="166.2"/>
    <n v="2659.2"/>
    <x v="39"/>
    <d v="2025-02-11T00:00:00"/>
    <s v=""/>
    <x v="2"/>
    <x v="0"/>
    <x v="0"/>
    <x v="7"/>
    <x v="1"/>
    <x v="6"/>
    <x v="0"/>
  </r>
  <r>
    <s v="TX501009"/>
    <x v="6"/>
    <x v="12"/>
    <n v="85.8"/>
    <n v="343.2"/>
    <x v="39"/>
    <d v="2025-02-10T00:00:00"/>
    <s v="F"/>
    <x v="1"/>
    <x v="1"/>
    <x v="0"/>
    <x v="7"/>
    <x v="3"/>
    <x v="6"/>
    <x v="2"/>
  </r>
  <r>
    <s v="TX501010"/>
    <x v="8"/>
    <x v="2"/>
    <n v="26"/>
    <n v="78"/>
    <x v="39"/>
    <d v="2025-02-11T00:00:00"/>
    <s v="O"/>
    <x v="1"/>
    <x v="0"/>
    <x v="0"/>
    <x v="7"/>
    <x v="1"/>
    <x v="6"/>
    <x v="3"/>
  </r>
  <r>
    <s v="TX501011"/>
    <x v="2"/>
    <x v="15"/>
    <n v="116.6"/>
    <n v="1515.8"/>
    <x v="39"/>
    <d v="2025-02-12T00:00:00"/>
    <s v="F"/>
    <x v="0"/>
    <x v="0"/>
    <x v="0"/>
    <x v="8"/>
    <x v="2"/>
    <x v="6"/>
    <x v="2"/>
  </r>
  <r>
    <s v="TX501012"/>
    <x v="9"/>
    <x v="3"/>
    <n v="53.9"/>
    <n v="377.3"/>
    <x v="39"/>
    <d v="2025-02-12T00:00:00"/>
    <s v="O"/>
    <x v="0"/>
    <x v="2"/>
    <x v="0"/>
    <x v="8"/>
    <x v="2"/>
    <x v="6"/>
    <x v="3"/>
  </r>
  <r>
    <s v="TX501013"/>
    <x v="12"/>
    <x v="9"/>
    <n v="72.3"/>
    <n v="361.5"/>
    <x v="39"/>
    <d v="2025-02-11T00:00:00"/>
    <s v=""/>
    <x v="2"/>
    <x v="2"/>
    <x v="0"/>
    <x v="8"/>
    <x v="1"/>
    <x v="6"/>
    <x v="0"/>
  </r>
  <r>
    <s v="TX501014"/>
    <x v="5"/>
    <x v="1"/>
    <n v="31.4"/>
    <n v="62.8"/>
    <x v="39"/>
    <d v="2025-02-11T00:00:00"/>
    <s v="F"/>
    <x v="0"/>
    <x v="0"/>
    <x v="0"/>
    <x v="8"/>
    <x v="1"/>
    <x v="6"/>
    <x v="2"/>
  </r>
  <r>
    <s v="TX501015"/>
    <x v="13"/>
    <x v="1"/>
    <n v="53.1"/>
    <n v="106.2"/>
    <x v="39"/>
    <d v="2025-02-12T00:00:00"/>
    <s v="M"/>
    <x v="1"/>
    <x v="0"/>
    <x v="0"/>
    <x v="8"/>
    <x v="2"/>
    <x v="6"/>
    <x v="1"/>
  </r>
  <r>
    <s v="TX501016"/>
    <x v="2"/>
    <x v="12"/>
    <n v="56.2"/>
    <n v="224.8"/>
    <x v="39"/>
    <d v="2025-02-10T00:00:00"/>
    <s v="F"/>
    <x v="0"/>
    <x v="0"/>
    <x v="0"/>
    <x v="8"/>
    <x v="3"/>
    <x v="6"/>
    <x v="2"/>
  </r>
  <r>
    <s v="TX501017"/>
    <x v="1"/>
    <x v="7"/>
    <n v="77.3"/>
    <n v="773"/>
    <x v="39"/>
    <d v="2025-02-10T00:00:00"/>
    <s v="F"/>
    <x v="2"/>
    <x v="0"/>
    <x v="0"/>
    <x v="11"/>
    <x v="3"/>
    <x v="6"/>
    <x v="2"/>
  </r>
  <r>
    <s v="TX501018"/>
    <x v="6"/>
    <x v="15"/>
    <n v="57.8"/>
    <n v="751.4"/>
    <x v="39"/>
    <d v="2025-02-10T00:00:00"/>
    <s v=""/>
    <x v="0"/>
    <x v="0"/>
    <x v="0"/>
    <x v="53"/>
    <x v="3"/>
    <x v="6"/>
    <x v="0"/>
  </r>
  <r>
    <s v="TX501019"/>
    <x v="12"/>
    <x v="20"/>
    <n v="42.1"/>
    <n v="631.5"/>
    <x v="39"/>
    <d v="2025-02-11T00:00:00"/>
    <s v="F"/>
    <x v="1"/>
    <x v="1"/>
    <x v="0"/>
    <x v="53"/>
    <x v="1"/>
    <x v="6"/>
    <x v="2"/>
  </r>
  <r>
    <s v="TX501020"/>
    <x v="8"/>
    <x v="11"/>
    <n v="22.8"/>
    <n v="205.20000000000002"/>
    <x v="39"/>
    <d v="2025-02-13T00:00:00"/>
    <s v="M"/>
    <x v="2"/>
    <x v="2"/>
    <x v="0"/>
    <x v="19"/>
    <x v="5"/>
    <x v="6"/>
    <x v="1"/>
  </r>
  <r>
    <s v="TX501021"/>
    <x v="2"/>
    <x v="2"/>
    <n v="171.1"/>
    <n v="513.29999999999995"/>
    <x v="40"/>
    <d v="2025-02-17T00:00:00"/>
    <s v="F"/>
    <x v="2"/>
    <x v="1"/>
    <x v="0"/>
    <x v="19"/>
    <x v="6"/>
    <x v="6"/>
    <x v="2"/>
  </r>
  <r>
    <s v="TX501022"/>
    <x v="8"/>
    <x v="0"/>
    <n v="28"/>
    <n v="28"/>
    <x v="40"/>
    <d v="2025-02-12T00:00:00"/>
    <s v="M"/>
    <x v="2"/>
    <x v="2"/>
    <x v="0"/>
    <x v="21"/>
    <x v="1"/>
    <x v="6"/>
    <x v="1"/>
  </r>
  <r>
    <s v="TX501023"/>
    <x v="6"/>
    <x v="3"/>
    <n v="50.2"/>
    <n v="351.40000000000003"/>
    <x v="40"/>
    <d v="2025-02-12T00:00:00"/>
    <s v="M"/>
    <x v="2"/>
    <x v="0"/>
    <x v="0"/>
    <x v="21"/>
    <x v="1"/>
    <x v="6"/>
    <x v="1"/>
  </r>
  <r>
    <s v="TX501024"/>
    <x v="6"/>
    <x v="1"/>
    <n v="56"/>
    <n v="112"/>
    <x v="40"/>
    <d v="2025-02-10T00:00:00"/>
    <s v="M"/>
    <x v="0"/>
    <x v="2"/>
    <x v="0"/>
    <x v="22"/>
    <x v="7"/>
    <x v="6"/>
    <x v="1"/>
  </r>
  <r>
    <s v="TX501025"/>
    <x v="1"/>
    <x v="1"/>
    <n v="38.299999999999997"/>
    <n v="76.599999999999994"/>
    <x v="40"/>
    <d v="2025-02-11T00:00:00"/>
    <s v="F"/>
    <x v="1"/>
    <x v="0"/>
    <x v="0"/>
    <x v="3"/>
    <x v="3"/>
    <x v="6"/>
    <x v="2"/>
  </r>
  <r>
    <s v="TX501026"/>
    <x v="0"/>
    <x v="9"/>
    <n v="22.3"/>
    <n v="111.5"/>
    <x v="40"/>
    <d v="2025-02-14T00:00:00"/>
    <s v="F"/>
    <x v="2"/>
    <x v="1"/>
    <x v="0"/>
    <x v="3"/>
    <x v="5"/>
    <x v="6"/>
    <x v="2"/>
  </r>
  <r>
    <s v="TX501027"/>
    <x v="0"/>
    <x v="2"/>
    <n v="22.3"/>
    <n v="66.900000000000006"/>
    <x v="40"/>
    <d v="2025-02-13T00:00:00"/>
    <s v="F"/>
    <x v="2"/>
    <x v="0"/>
    <x v="0"/>
    <x v="3"/>
    <x v="2"/>
    <x v="6"/>
    <x v="2"/>
  </r>
  <r>
    <s v="TX501028"/>
    <x v="1"/>
    <x v="0"/>
    <n v="32.9"/>
    <n v="32.9"/>
    <x v="40"/>
    <d v="2025-02-15T00:00:00"/>
    <s v="F"/>
    <x v="0"/>
    <x v="0"/>
    <x v="0"/>
    <x v="3"/>
    <x v="0"/>
    <x v="6"/>
    <x v="2"/>
  </r>
  <r>
    <s v="TX501029"/>
    <x v="10"/>
    <x v="2"/>
    <n v="31.9"/>
    <n v="95.699999999999989"/>
    <x v="40"/>
    <d v="2025-02-15T00:00:00"/>
    <s v="F"/>
    <x v="0"/>
    <x v="0"/>
    <x v="0"/>
    <x v="3"/>
    <x v="0"/>
    <x v="6"/>
    <x v="2"/>
  </r>
  <r>
    <s v="TX501030"/>
    <x v="6"/>
    <x v="1"/>
    <n v="94"/>
    <n v="188"/>
    <x v="40"/>
    <d v="2025-02-11T00:00:00"/>
    <s v="M"/>
    <x v="2"/>
    <x v="2"/>
    <x v="0"/>
    <x v="3"/>
    <x v="3"/>
    <x v="6"/>
    <x v="1"/>
  </r>
  <r>
    <s v="TX501031"/>
    <x v="10"/>
    <x v="1"/>
    <n v="30.7"/>
    <n v="61.4"/>
    <x v="40"/>
    <d v="2025-02-11T00:00:00"/>
    <s v="F"/>
    <x v="0"/>
    <x v="1"/>
    <x v="0"/>
    <x v="3"/>
    <x v="3"/>
    <x v="6"/>
    <x v="2"/>
  </r>
  <r>
    <s v="TX501032"/>
    <x v="5"/>
    <x v="9"/>
    <n v="90.5"/>
    <n v="452.5"/>
    <x v="40"/>
    <d v="2025-02-17T00:00:00"/>
    <s v="M"/>
    <x v="0"/>
    <x v="2"/>
    <x v="0"/>
    <x v="3"/>
    <x v="6"/>
    <x v="6"/>
    <x v="1"/>
  </r>
  <r>
    <s v="TX501033"/>
    <x v="8"/>
    <x v="9"/>
    <n v="25.3"/>
    <n v="126.5"/>
    <x v="40"/>
    <d v="2025-02-14T00:00:00"/>
    <s v="F"/>
    <x v="0"/>
    <x v="2"/>
    <x v="0"/>
    <x v="3"/>
    <x v="5"/>
    <x v="6"/>
    <x v="2"/>
  </r>
  <r>
    <s v="TX501034"/>
    <x v="6"/>
    <x v="2"/>
    <n v="58.1"/>
    <n v="174.3"/>
    <x v="40"/>
    <d v="2025-02-14T00:00:00"/>
    <s v=""/>
    <x v="0"/>
    <x v="2"/>
    <x v="0"/>
    <x v="3"/>
    <x v="5"/>
    <x v="6"/>
    <x v="0"/>
  </r>
  <r>
    <s v="TX501035"/>
    <x v="2"/>
    <x v="2"/>
    <n v="74.900000000000006"/>
    <n v="224.70000000000002"/>
    <x v="40"/>
    <d v="2025-02-11T00:00:00"/>
    <s v="F"/>
    <x v="4"/>
    <x v="0"/>
    <x v="0"/>
    <x v="3"/>
    <x v="3"/>
    <x v="6"/>
    <x v="2"/>
  </r>
  <r>
    <s v="TX501036"/>
    <x v="4"/>
    <x v="1"/>
    <n v="32.5"/>
    <n v="65"/>
    <x v="40"/>
    <d v="2025-02-11T00:00:00"/>
    <s v="M"/>
    <x v="2"/>
    <x v="2"/>
    <x v="0"/>
    <x v="43"/>
    <x v="3"/>
    <x v="6"/>
    <x v="1"/>
  </r>
  <r>
    <s v="TX501037"/>
    <x v="4"/>
    <x v="9"/>
    <n v="62"/>
    <n v="310"/>
    <x v="40"/>
    <d v="2025-02-11T00:00:00"/>
    <s v="M"/>
    <x v="4"/>
    <x v="2"/>
    <x v="0"/>
    <x v="25"/>
    <x v="3"/>
    <x v="6"/>
    <x v="1"/>
  </r>
  <r>
    <s v="TX501038"/>
    <x v="13"/>
    <x v="13"/>
    <n v="28.9"/>
    <n v="173.39999999999998"/>
    <x v="40"/>
    <d v="2025-02-13T00:00:00"/>
    <s v="F"/>
    <x v="0"/>
    <x v="1"/>
    <x v="0"/>
    <x v="6"/>
    <x v="2"/>
    <x v="6"/>
    <x v="2"/>
  </r>
  <r>
    <s v="TX501039"/>
    <x v="6"/>
    <x v="8"/>
    <n v="42.8"/>
    <n v="342.4"/>
    <x v="40"/>
    <d v="2025-02-12T00:00:00"/>
    <s v="F"/>
    <x v="0"/>
    <x v="2"/>
    <x v="0"/>
    <x v="6"/>
    <x v="1"/>
    <x v="6"/>
    <x v="2"/>
  </r>
  <r>
    <s v="TX501040"/>
    <x v="8"/>
    <x v="8"/>
    <n v="39.4"/>
    <n v="315.2"/>
    <x v="40"/>
    <d v="2025-02-12T00:00:00"/>
    <s v="M"/>
    <x v="0"/>
    <x v="0"/>
    <x v="0"/>
    <x v="36"/>
    <x v="1"/>
    <x v="6"/>
    <x v="1"/>
  </r>
  <r>
    <s v="TX501041"/>
    <x v="18"/>
    <x v="2"/>
    <n v="66.400000000000006"/>
    <n v="199.20000000000002"/>
    <x v="40"/>
    <d v="2025-02-11T00:00:00"/>
    <s v=""/>
    <x v="2"/>
    <x v="1"/>
    <x v="0"/>
    <x v="7"/>
    <x v="3"/>
    <x v="6"/>
    <x v="0"/>
  </r>
  <r>
    <s v="TX501042"/>
    <x v="17"/>
    <x v="12"/>
    <n v="35.9"/>
    <n v="143.6"/>
    <x v="40"/>
    <d v="2025-02-17T00:00:00"/>
    <s v="F"/>
    <x v="1"/>
    <x v="0"/>
    <x v="0"/>
    <x v="7"/>
    <x v="6"/>
    <x v="6"/>
    <x v="2"/>
  </r>
  <r>
    <s v="TX501043"/>
    <x v="0"/>
    <x v="12"/>
    <n v="26.9"/>
    <n v="107.6"/>
    <x v="40"/>
    <d v="2025-02-11T00:00:00"/>
    <s v="M"/>
    <x v="1"/>
    <x v="0"/>
    <x v="0"/>
    <x v="7"/>
    <x v="3"/>
    <x v="6"/>
    <x v="1"/>
  </r>
  <r>
    <s v="TX501044"/>
    <x v="2"/>
    <x v="0"/>
    <n v="55.1"/>
    <n v="55.1"/>
    <x v="40"/>
    <d v="2025-02-11T00:00:00"/>
    <s v="F"/>
    <x v="0"/>
    <x v="0"/>
    <x v="0"/>
    <x v="7"/>
    <x v="3"/>
    <x v="6"/>
    <x v="2"/>
  </r>
  <r>
    <s v="TX501045"/>
    <x v="4"/>
    <x v="1"/>
    <n v="23.9"/>
    <n v="47.8"/>
    <x v="40"/>
    <d v="2025-02-11T00:00:00"/>
    <s v="M"/>
    <x v="0"/>
    <x v="2"/>
    <x v="0"/>
    <x v="8"/>
    <x v="3"/>
    <x v="6"/>
    <x v="1"/>
  </r>
  <r>
    <s v="TX501046"/>
    <x v="9"/>
    <x v="15"/>
    <n v="21.1"/>
    <n v="274.3"/>
    <x v="40"/>
    <d v="2025-02-18T00:00:00"/>
    <s v="F"/>
    <x v="0"/>
    <x v="1"/>
    <x v="0"/>
    <x v="8"/>
    <x v="9"/>
    <x v="6"/>
    <x v="2"/>
  </r>
  <r>
    <s v="TX501047"/>
    <x v="8"/>
    <x v="9"/>
    <n v="33.799999999999997"/>
    <n v="169"/>
    <x v="40"/>
    <d v="2025-02-12T00:00:00"/>
    <s v="F"/>
    <x v="0"/>
    <x v="0"/>
    <x v="0"/>
    <x v="8"/>
    <x v="1"/>
    <x v="6"/>
    <x v="2"/>
  </r>
  <r>
    <s v="TX501048"/>
    <x v="2"/>
    <x v="12"/>
    <n v="56.1"/>
    <n v="224.4"/>
    <x v="40"/>
    <d v="2025-02-10T00:00:00"/>
    <s v="F"/>
    <x v="3"/>
    <x v="2"/>
    <x v="0"/>
    <x v="9"/>
    <x v="7"/>
    <x v="6"/>
    <x v="2"/>
  </r>
  <r>
    <s v="TX501049"/>
    <x v="3"/>
    <x v="0"/>
    <n v="58.5"/>
    <n v="58.5"/>
    <x v="41"/>
    <d v="2025-02-15T00:00:00"/>
    <s v="F"/>
    <x v="1"/>
    <x v="2"/>
    <x v="0"/>
    <x v="9"/>
    <x v="5"/>
    <x v="6"/>
    <x v="2"/>
  </r>
  <r>
    <s v="TX501050"/>
    <x v="6"/>
    <x v="0"/>
    <n v="84.2"/>
    <n v="84.2"/>
    <x v="41"/>
    <d v="2025-02-13T00:00:00"/>
    <s v="M"/>
    <x v="3"/>
    <x v="0"/>
    <x v="0"/>
    <x v="11"/>
    <x v="1"/>
    <x v="6"/>
    <x v="1"/>
  </r>
  <r>
    <s v="TX501051"/>
    <x v="11"/>
    <x v="12"/>
    <n v="52"/>
    <n v="208"/>
    <x v="41"/>
    <d v="2025-02-14T00:00:00"/>
    <s v="M"/>
    <x v="0"/>
    <x v="0"/>
    <x v="0"/>
    <x v="11"/>
    <x v="2"/>
    <x v="6"/>
    <x v="1"/>
  </r>
  <r>
    <s v="TX501052"/>
    <x v="4"/>
    <x v="9"/>
    <n v="31.5"/>
    <n v="157.5"/>
    <x v="41"/>
    <d v="2025-02-12T00:00:00"/>
    <s v="F"/>
    <x v="0"/>
    <x v="2"/>
    <x v="0"/>
    <x v="11"/>
    <x v="3"/>
    <x v="6"/>
    <x v="2"/>
  </r>
  <r>
    <s v="TX501053"/>
    <x v="16"/>
    <x v="2"/>
    <n v="46.2"/>
    <n v="138.60000000000002"/>
    <x v="41"/>
    <d v="2025-02-12T00:00:00"/>
    <s v="M"/>
    <x v="0"/>
    <x v="0"/>
    <x v="0"/>
    <x v="53"/>
    <x v="3"/>
    <x v="6"/>
    <x v="1"/>
  </r>
  <r>
    <s v="TX501054"/>
    <x v="2"/>
    <x v="13"/>
    <n v="135"/>
    <n v="810"/>
    <x v="41"/>
    <d v="2025-02-12T00:00:00"/>
    <s v="F"/>
    <x v="1"/>
    <x v="2"/>
    <x v="0"/>
    <x v="18"/>
    <x v="3"/>
    <x v="6"/>
    <x v="2"/>
  </r>
  <r>
    <s v="TX501055"/>
    <x v="12"/>
    <x v="2"/>
    <n v="92.2"/>
    <n v="276.60000000000002"/>
    <x v="41"/>
    <d v="2025-02-15T00:00:00"/>
    <s v="M"/>
    <x v="0"/>
    <x v="0"/>
    <x v="0"/>
    <x v="21"/>
    <x v="5"/>
    <x v="6"/>
    <x v="1"/>
  </r>
  <r>
    <s v="TX501056"/>
    <x v="8"/>
    <x v="0"/>
    <n v="36.6"/>
    <n v="36.6"/>
    <x v="41"/>
    <d v="2025-02-13T00:00:00"/>
    <s v="M"/>
    <x v="2"/>
    <x v="2"/>
    <x v="0"/>
    <x v="21"/>
    <x v="1"/>
    <x v="6"/>
    <x v="1"/>
  </r>
  <r>
    <s v="TX501057"/>
    <x v="9"/>
    <x v="1"/>
    <n v="50.6"/>
    <n v="101.2"/>
    <x v="41"/>
    <d v="2025-02-14T00:00:00"/>
    <s v="F"/>
    <x v="0"/>
    <x v="0"/>
    <x v="0"/>
    <x v="2"/>
    <x v="2"/>
    <x v="6"/>
    <x v="2"/>
  </r>
  <r>
    <s v="TX501058"/>
    <x v="18"/>
    <x v="3"/>
    <n v="56.7"/>
    <n v="396.90000000000003"/>
    <x v="41"/>
    <d v="2025-02-14T00:00:00"/>
    <s v="F"/>
    <x v="0"/>
    <x v="0"/>
    <x v="0"/>
    <x v="2"/>
    <x v="2"/>
    <x v="6"/>
    <x v="2"/>
  </r>
  <r>
    <s v="TX501059"/>
    <x v="9"/>
    <x v="15"/>
    <n v="22.9"/>
    <n v="297.7"/>
    <x v="41"/>
    <d v="2025-02-12T00:00:00"/>
    <s v="F"/>
    <x v="0"/>
    <x v="1"/>
    <x v="0"/>
    <x v="44"/>
    <x v="3"/>
    <x v="6"/>
    <x v="2"/>
  </r>
  <r>
    <s v="TX501060"/>
    <x v="15"/>
    <x v="10"/>
    <n v="53.6"/>
    <n v="1018.4"/>
    <x v="41"/>
    <d v="2025-02-12T00:00:00"/>
    <s v="M"/>
    <x v="0"/>
    <x v="0"/>
    <x v="0"/>
    <x v="22"/>
    <x v="3"/>
    <x v="6"/>
    <x v="1"/>
  </r>
  <r>
    <s v="TX501061"/>
    <x v="18"/>
    <x v="1"/>
    <n v="30.2"/>
    <n v="60.4"/>
    <x v="41"/>
    <d v="2025-02-13T00:00:00"/>
    <s v=""/>
    <x v="2"/>
    <x v="2"/>
    <x v="0"/>
    <x v="3"/>
    <x v="1"/>
    <x v="6"/>
    <x v="0"/>
  </r>
  <r>
    <s v="TX501062"/>
    <x v="15"/>
    <x v="13"/>
    <n v="83.4"/>
    <n v="500.40000000000003"/>
    <x v="41"/>
    <d v="2025-02-12T00:00:00"/>
    <s v="M"/>
    <x v="1"/>
    <x v="2"/>
    <x v="0"/>
    <x v="3"/>
    <x v="3"/>
    <x v="6"/>
    <x v="1"/>
  </r>
  <r>
    <s v="TX501063"/>
    <x v="13"/>
    <x v="4"/>
    <n v="16.600000000000001"/>
    <n v="199.20000000000002"/>
    <x v="41"/>
    <d v="2025-02-13T00:00:00"/>
    <s v="M"/>
    <x v="1"/>
    <x v="0"/>
    <x v="0"/>
    <x v="3"/>
    <x v="1"/>
    <x v="6"/>
    <x v="1"/>
  </r>
  <r>
    <s v="TX501064"/>
    <x v="8"/>
    <x v="14"/>
    <n v="21.9"/>
    <n v="372.29999999999995"/>
    <x v="41"/>
    <d v="2025-02-13T00:00:00"/>
    <s v="F"/>
    <x v="4"/>
    <x v="1"/>
    <x v="0"/>
    <x v="3"/>
    <x v="1"/>
    <x v="6"/>
    <x v="2"/>
  </r>
  <r>
    <s v="TX501065"/>
    <x v="8"/>
    <x v="31"/>
    <n v="33.799999999999997"/>
    <n v="946.39999999999986"/>
    <x v="41"/>
    <d v="2025-02-13T00:00:00"/>
    <s v="M"/>
    <x v="2"/>
    <x v="4"/>
    <x v="0"/>
    <x v="3"/>
    <x v="1"/>
    <x v="6"/>
    <x v="1"/>
  </r>
  <r>
    <s v="TX501066"/>
    <x v="18"/>
    <x v="1"/>
    <n v="53.2"/>
    <n v="106.4"/>
    <x v="41"/>
    <d v="2025-02-11T00:00:00"/>
    <s v="M"/>
    <x v="1"/>
    <x v="0"/>
    <x v="0"/>
    <x v="3"/>
    <x v="7"/>
    <x v="6"/>
    <x v="1"/>
  </r>
  <r>
    <s v="TX501067"/>
    <x v="2"/>
    <x v="1"/>
    <n v="176.7"/>
    <n v="353.4"/>
    <x v="41"/>
    <d v="2025-02-14T00:00:00"/>
    <s v="F"/>
    <x v="2"/>
    <x v="0"/>
    <x v="0"/>
    <x v="3"/>
    <x v="2"/>
    <x v="6"/>
    <x v="2"/>
  </r>
  <r>
    <s v="TX501068"/>
    <x v="12"/>
    <x v="2"/>
    <n v="54"/>
    <n v="162"/>
    <x v="41"/>
    <d v="2025-02-14T00:00:00"/>
    <s v="M"/>
    <x v="0"/>
    <x v="1"/>
    <x v="0"/>
    <x v="3"/>
    <x v="2"/>
    <x v="6"/>
    <x v="1"/>
  </r>
  <r>
    <s v="TX501069"/>
    <x v="9"/>
    <x v="1"/>
    <n v="70.099999999999994"/>
    <n v="140.19999999999999"/>
    <x v="41"/>
    <d v="2025-02-19T00:00:00"/>
    <s v="F"/>
    <x v="3"/>
    <x v="2"/>
    <x v="0"/>
    <x v="3"/>
    <x v="9"/>
    <x v="6"/>
    <x v="2"/>
  </r>
  <r>
    <s v="TX501070"/>
    <x v="8"/>
    <x v="0"/>
    <n v="26.5"/>
    <n v="26.5"/>
    <x v="41"/>
    <d v="2025-02-13T00:00:00"/>
    <s v="F"/>
    <x v="1"/>
    <x v="0"/>
    <x v="0"/>
    <x v="3"/>
    <x v="1"/>
    <x v="6"/>
    <x v="2"/>
  </r>
  <r>
    <s v="TX501071"/>
    <x v="7"/>
    <x v="9"/>
    <n v="89"/>
    <n v="445"/>
    <x v="41"/>
    <d v="2025-02-13T00:00:00"/>
    <s v="M"/>
    <x v="2"/>
    <x v="4"/>
    <x v="0"/>
    <x v="3"/>
    <x v="1"/>
    <x v="6"/>
    <x v="1"/>
  </r>
  <r>
    <s v="TX501072"/>
    <x v="1"/>
    <x v="13"/>
    <n v="47"/>
    <n v="282"/>
    <x v="41"/>
    <d v="2025-02-14T00:00:00"/>
    <s v="F"/>
    <x v="3"/>
    <x v="0"/>
    <x v="0"/>
    <x v="24"/>
    <x v="2"/>
    <x v="6"/>
    <x v="2"/>
  </r>
  <r>
    <s v="TX501073"/>
    <x v="3"/>
    <x v="1"/>
    <n v="55.2"/>
    <n v="110.4"/>
    <x v="41"/>
    <d v="2025-02-14T00:00:00"/>
    <s v="M"/>
    <x v="1"/>
    <x v="1"/>
    <x v="0"/>
    <x v="6"/>
    <x v="2"/>
    <x v="6"/>
    <x v="1"/>
  </r>
  <r>
    <s v="TX501074"/>
    <x v="8"/>
    <x v="39"/>
    <n v="33.299999999999997"/>
    <n v="1398.6"/>
    <x v="41"/>
    <d v="2025-02-25T00:00:00"/>
    <s v="M"/>
    <x v="1"/>
    <x v="2"/>
    <x v="0"/>
    <x v="6"/>
    <x v="12"/>
    <x v="6"/>
    <x v="1"/>
  </r>
  <r>
    <s v="TX501075"/>
    <x v="2"/>
    <x v="12"/>
    <n v="110.9"/>
    <n v="443.6"/>
    <x v="42"/>
    <d v="2025-02-12T00:00:00"/>
    <s v="M"/>
    <x v="2"/>
    <x v="4"/>
    <x v="0"/>
    <x v="6"/>
    <x v="7"/>
    <x v="6"/>
    <x v="1"/>
  </r>
  <r>
    <s v="TX501076"/>
    <x v="2"/>
    <x v="13"/>
    <n v="67.3"/>
    <n v="403.79999999999995"/>
    <x v="42"/>
    <d v="2025-02-13T00:00:00"/>
    <s v="M"/>
    <x v="0"/>
    <x v="0"/>
    <x v="0"/>
    <x v="8"/>
    <x v="3"/>
    <x v="6"/>
    <x v="1"/>
  </r>
  <r>
    <s v="TX501077"/>
    <x v="6"/>
    <x v="2"/>
    <n v="69.7"/>
    <n v="209.10000000000002"/>
    <x v="42"/>
    <d v="2025-02-13T00:00:00"/>
    <s v="M"/>
    <x v="2"/>
    <x v="1"/>
    <x v="0"/>
    <x v="8"/>
    <x v="3"/>
    <x v="6"/>
    <x v="1"/>
  </r>
  <r>
    <s v="TX501078"/>
    <x v="5"/>
    <x v="0"/>
    <n v="39.1"/>
    <n v="39.1"/>
    <x v="42"/>
    <d v="2025-02-17T00:00:00"/>
    <s v="M"/>
    <x v="0"/>
    <x v="1"/>
    <x v="0"/>
    <x v="17"/>
    <x v="0"/>
    <x v="6"/>
    <x v="1"/>
  </r>
  <r>
    <s v="TX501079"/>
    <x v="2"/>
    <x v="2"/>
    <n v="208.6"/>
    <n v="625.79999999999995"/>
    <x v="42"/>
    <d v="2025-02-12T00:00:00"/>
    <s v="M"/>
    <x v="4"/>
    <x v="2"/>
    <x v="0"/>
    <x v="17"/>
    <x v="7"/>
    <x v="6"/>
    <x v="1"/>
  </r>
  <r>
    <s v="TX501080"/>
    <x v="15"/>
    <x v="2"/>
    <n v="27.8"/>
    <n v="83.4"/>
    <x v="42"/>
    <d v="2025-02-13T00:00:00"/>
    <s v="M"/>
    <x v="3"/>
    <x v="1"/>
    <x v="0"/>
    <x v="11"/>
    <x v="3"/>
    <x v="6"/>
    <x v="1"/>
  </r>
  <r>
    <s v="TX501081"/>
    <x v="10"/>
    <x v="9"/>
    <n v="29.4"/>
    <n v="147"/>
    <x v="42"/>
    <d v="2025-02-14T00:00:00"/>
    <s v="F"/>
    <x v="0"/>
    <x v="0"/>
    <x v="0"/>
    <x v="11"/>
    <x v="1"/>
    <x v="6"/>
    <x v="2"/>
  </r>
  <r>
    <s v="TX501082"/>
    <x v="9"/>
    <x v="1"/>
    <n v="29.2"/>
    <n v="58.4"/>
    <x v="42"/>
    <d v="2025-02-14T00:00:00"/>
    <s v="F"/>
    <x v="1"/>
    <x v="2"/>
    <x v="0"/>
    <x v="20"/>
    <x v="1"/>
    <x v="6"/>
    <x v="2"/>
  </r>
  <r>
    <s v="TX501083"/>
    <x v="10"/>
    <x v="9"/>
    <n v="26.5"/>
    <n v="132.5"/>
    <x v="42"/>
    <d v="2025-02-14T00:00:00"/>
    <s v="F"/>
    <x v="0"/>
    <x v="0"/>
    <x v="0"/>
    <x v="52"/>
    <x v="1"/>
    <x v="6"/>
    <x v="2"/>
  </r>
  <r>
    <s v="TX501084"/>
    <x v="5"/>
    <x v="0"/>
    <n v="30.3"/>
    <n v="30.3"/>
    <x v="42"/>
    <d v="2025-02-13T00:00:00"/>
    <s v="F"/>
    <x v="4"/>
    <x v="1"/>
    <x v="0"/>
    <x v="13"/>
    <x v="3"/>
    <x v="6"/>
    <x v="2"/>
  </r>
  <r>
    <s v="TX501085"/>
    <x v="16"/>
    <x v="4"/>
    <n v="39.700000000000003"/>
    <n v="476.40000000000003"/>
    <x v="42"/>
    <d v="2025-02-13T00:00:00"/>
    <s v="F"/>
    <x v="0"/>
    <x v="0"/>
    <x v="0"/>
    <x v="21"/>
    <x v="3"/>
    <x v="6"/>
    <x v="2"/>
  </r>
  <r>
    <s v="TX501086"/>
    <x v="7"/>
    <x v="7"/>
    <n v="58.9"/>
    <n v="589"/>
    <x v="42"/>
    <d v="2025-02-14T00:00:00"/>
    <s v="F"/>
    <x v="1"/>
    <x v="4"/>
    <x v="0"/>
    <x v="21"/>
    <x v="1"/>
    <x v="6"/>
    <x v="2"/>
  </r>
  <r>
    <s v="TX501087"/>
    <x v="2"/>
    <x v="1"/>
    <n v="174.1"/>
    <n v="348.2"/>
    <x v="42"/>
    <d v="2025-02-14T00:00:00"/>
    <s v="F"/>
    <x v="0"/>
    <x v="1"/>
    <x v="0"/>
    <x v="46"/>
    <x v="1"/>
    <x v="6"/>
    <x v="2"/>
  </r>
  <r>
    <s v="TX501088"/>
    <x v="6"/>
    <x v="1"/>
    <n v="70.8"/>
    <n v="141.6"/>
    <x v="42"/>
    <d v="2025-02-15T00:00:00"/>
    <s v="M"/>
    <x v="2"/>
    <x v="0"/>
    <x v="0"/>
    <x v="22"/>
    <x v="2"/>
    <x v="6"/>
    <x v="1"/>
  </r>
  <r>
    <s v="TX501089"/>
    <x v="7"/>
    <x v="1"/>
    <n v="57.4"/>
    <n v="114.8"/>
    <x v="42"/>
    <d v="2025-02-14T00:00:00"/>
    <s v="F"/>
    <x v="1"/>
    <x v="1"/>
    <x v="0"/>
    <x v="34"/>
    <x v="1"/>
    <x v="6"/>
    <x v="2"/>
  </r>
  <r>
    <s v="TX501090"/>
    <x v="0"/>
    <x v="1"/>
    <n v="28.5"/>
    <n v="57"/>
    <x v="42"/>
    <d v="2025-02-14T00:00:00"/>
    <s v="M"/>
    <x v="3"/>
    <x v="1"/>
    <x v="0"/>
    <x v="3"/>
    <x v="1"/>
    <x v="6"/>
    <x v="1"/>
  </r>
  <r>
    <s v="TX501091"/>
    <x v="2"/>
    <x v="28"/>
    <n v="106.6"/>
    <n v="2132"/>
    <x v="42"/>
    <d v="2025-02-13T00:00:00"/>
    <s v=""/>
    <x v="1"/>
    <x v="4"/>
    <x v="0"/>
    <x v="3"/>
    <x v="3"/>
    <x v="6"/>
    <x v="0"/>
  </r>
  <r>
    <s v="TX501092"/>
    <x v="2"/>
    <x v="2"/>
    <n v="119.7"/>
    <n v="359.1"/>
    <x v="42"/>
    <d v="2025-02-13T00:00:00"/>
    <s v="F"/>
    <x v="1"/>
    <x v="4"/>
    <x v="0"/>
    <x v="3"/>
    <x v="3"/>
    <x v="6"/>
    <x v="2"/>
  </r>
  <r>
    <s v="TX501093"/>
    <x v="18"/>
    <x v="0"/>
    <n v="73.3"/>
    <n v="73.3"/>
    <x v="42"/>
    <d v="2025-02-17T00:00:00"/>
    <s v="F"/>
    <x v="0"/>
    <x v="2"/>
    <x v="0"/>
    <x v="3"/>
    <x v="0"/>
    <x v="6"/>
    <x v="2"/>
  </r>
  <r>
    <s v="TX501094"/>
    <x v="0"/>
    <x v="1"/>
    <n v="25.8"/>
    <n v="51.6"/>
    <x v="42"/>
    <d v="2025-02-26T00:00:00"/>
    <s v="M"/>
    <x v="2"/>
    <x v="0"/>
    <x v="0"/>
    <x v="3"/>
    <x v="12"/>
    <x v="6"/>
    <x v="1"/>
  </r>
  <r>
    <s v="TX501095"/>
    <x v="17"/>
    <x v="2"/>
    <n v="49.1"/>
    <n v="147.30000000000001"/>
    <x v="42"/>
    <d v="2025-02-14T00:00:00"/>
    <s v="F"/>
    <x v="0"/>
    <x v="0"/>
    <x v="0"/>
    <x v="24"/>
    <x v="1"/>
    <x v="6"/>
    <x v="2"/>
  </r>
  <r>
    <s v="TX501096"/>
    <x v="1"/>
    <x v="0"/>
    <n v="44.9"/>
    <n v="44.9"/>
    <x v="42"/>
    <d v="2025-02-15T00:00:00"/>
    <s v="F"/>
    <x v="3"/>
    <x v="2"/>
    <x v="0"/>
    <x v="6"/>
    <x v="2"/>
    <x v="6"/>
    <x v="2"/>
  </r>
  <r>
    <s v="TX501097"/>
    <x v="15"/>
    <x v="3"/>
    <n v="29.9"/>
    <n v="209.29999999999998"/>
    <x v="42"/>
    <d v="2025-02-13T00:00:00"/>
    <s v="F"/>
    <x v="0"/>
    <x v="0"/>
    <x v="0"/>
    <x v="6"/>
    <x v="3"/>
    <x v="6"/>
    <x v="2"/>
  </r>
  <r>
    <s v="TX501098"/>
    <x v="7"/>
    <x v="1"/>
    <n v="54.3"/>
    <n v="108.6"/>
    <x v="43"/>
    <d v="2025-02-14T00:00:00"/>
    <s v="M"/>
    <x v="3"/>
    <x v="0"/>
    <x v="0"/>
    <x v="36"/>
    <x v="3"/>
    <x v="6"/>
    <x v="1"/>
  </r>
  <r>
    <s v="TX501099"/>
    <x v="9"/>
    <x v="12"/>
    <n v="57"/>
    <n v="228"/>
    <x v="43"/>
    <d v="2025-02-15T00:00:00"/>
    <s v="F"/>
    <x v="0"/>
    <x v="0"/>
    <x v="0"/>
    <x v="8"/>
    <x v="1"/>
    <x v="6"/>
    <x v="2"/>
  </r>
  <r>
    <s v="TX501100"/>
    <x v="2"/>
    <x v="0"/>
    <n v="139.19999999999999"/>
    <n v="139.19999999999999"/>
    <x v="43"/>
    <d v="2025-02-14T00:00:00"/>
    <s v="F"/>
    <x v="3"/>
    <x v="2"/>
    <x v="0"/>
    <x v="8"/>
    <x v="3"/>
    <x v="6"/>
    <x v="2"/>
  </r>
  <r>
    <s v="TX501101"/>
    <x v="10"/>
    <x v="0"/>
    <n v="33"/>
    <n v="33"/>
    <x v="43"/>
    <d v="2025-02-16T00:00:00"/>
    <s v="F"/>
    <x v="0"/>
    <x v="2"/>
    <x v="0"/>
    <x v="8"/>
    <x v="2"/>
    <x v="6"/>
    <x v="2"/>
  </r>
  <r>
    <s v="TX501102"/>
    <x v="11"/>
    <x v="13"/>
    <n v="80.2"/>
    <n v="481.20000000000005"/>
    <x v="43"/>
    <d v="2025-02-15T00:00:00"/>
    <s v="M"/>
    <x v="1"/>
    <x v="4"/>
    <x v="0"/>
    <x v="8"/>
    <x v="1"/>
    <x v="6"/>
    <x v="1"/>
  </r>
  <r>
    <s v="TX501103"/>
    <x v="18"/>
    <x v="8"/>
    <n v="49"/>
    <n v="392"/>
    <x v="43"/>
    <d v="2025-02-14T00:00:00"/>
    <s v=""/>
    <x v="2"/>
    <x v="1"/>
    <x v="0"/>
    <x v="9"/>
    <x v="3"/>
    <x v="6"/>
    <x v="0"/>
  </r>
  <r>
    <s v="TX501104"/>
    <x v="1"/>
    <x v="12"/>
    <n v="104.4"/>
    <n v="417.6"/>
    <x v="43"/>
    <d v="2025-02-13T00:00:00"/>
    <s v="F"/>
    <x v="0"/>
    <x v="0"/>
    <x v="0"/>
    <x v="9"/>
    <x v="7"/>
    <x v="6"/>
    <x v="2"/>
  </r>
  <r>
    <s v="TX501105"/>
    <x v="3"/>
    <x v="0"/>
    <n v="41.6"/>
    <n v="41.6"/>
    <x v="43"/>
    <d v="2025-02-16T00:00:00"/>
    <s v="M"/>
    <x v="3"/>
    <x v="0"/>
    <x v="0"/>
    <x v="11"/>
    <x v="2"/>
    <x v="6"/>
    <x v="1"/>
  </r>
  <r>
    <s v="TX501106"/>
    <x v="19"/>
    <x v="1"/>
    <n v="16.399999999999999"/>
    <n v="32.799999999999997"/>
    <x v="43"/>
    <d v="2025-02-14T00:00:00"/>
    <s v="O"/>
    <x v="0"/>
    <x v="2"/>
    <x v="0"/>
    <x v="11"/>
    <x v="3"/>
    <x v="6"/>
    <x v="3"/>
  </r>
  <r>
    <s v="TX501107"/>
    <x v="8"/>
    <x v="1"/>
    <n v="22"/>
    <n v="44"/>
    <x v="43"/>
    <d v="2025-02-14T00:00:00"/>
    <s v="M"/>
    <x v="2"/>
    <x v="2"/>
    <x v="0"/>
    <x v="53"/>
    <x v="3"/>
    <x v="6"/>
    <x v="1"/>
  </r>
  <r>
    <s v="TX501108"/>
    <x v="15"/>
    <x v="1"/>
    <n v="33.6"/>
    <n v="67.2"/>
    <x v="43"/>
    <d v="2025-02-18T00:00:00"/>
    <s v="F"/>
    <x v="0"/>
    <x v="0"/>
    <x v="0"/>
    <x v="21"/>
    <x v="0"/>
    <x v="6"/>
    <x v="2"/>
  </r>
  <r>
    <s v="TX501109"/>
    <x v="11"/>
    <x v="13"/>
    <n v="43"/>
    <n v="258"/>
    <x v="43"/>
    <d v="2025-02-14T00:00:00"/>
    <s v="F"/>
    <x v="2"/>
    <x v="0"/>
    <x v="0"/>
    <x v="21"/>
    <x v="3"/>
    <x v="6"/>
    <x v="2"/>
  </r>
  <r>
    <s v="TX501110"/>
    <x v="6"/>
    <x v="9"/>
    <n v="108.8"/>
    <n v="544"/>
    <x v="43"/>
    <d v="2025-02-16T00:00:00"/>
    <s v="F"/>
    <x v="4"/>
    <x v="2"/>
    <x v="0"/>
    <x v="21"/>
    <x v="2"/>
    <x v="6"/>
    <x v="2"/>
  </r>
  <r>
    <s v="TX501111"/>
    <x v="0"/>
    <x v="11"/>
    <n v="29.3"/>
    <n v="263.7"/>
    <x v="43"/>
    <d v="2025-02-15T00:00:00"/>
    <s v="M"/>
    <x v="4"/>
    <x v="2"/>
    <x v="0"/>
    <x v="21"/>
    <x v="1"/>
    <x v="6"/>
    <x v="1"/>
  </r>
  <r>
    <s v="TX501112"/>
    <x v="2"/>
    <x v="0"/>
    <n v="122.7"/>
    <n v="122.7"/>
    <x v="43"/>
    <d v="2025-02-16T00:00:00"/>
    <s v="O"/>
    <x v="0"/>
    <x v="2"/>
    <x v="0"/>
    <x v="1"/>
    <x v="2"/>
    <x v="6"/>
    <x v="3"/>
  </r>
  <r>
    <s v="TX501113"/>
    <x v="4"/>
    <x v="3"/>
    <n v="22.9"/>
    <n v="160.29999999999998"/>
    <x v="43"/>
    <d v="2025-02-14T00:00:00"/>
    <s v="F"/>
    <x v="0"/>
    <x v="0"/>
    <x v="0"/>
    <x v="42"/>
    <x v="3"/>
    <x v="6"/>
    <x v="2"/>
  </r>
  <r>
    <s v="TX501114"/>
    <x v="8"/>
    <x v="7"/>
    <n v="25.5"/>
    <n v="255"/>
    <x v="43"/>
    <d v="2025-02-20T00:00:00"/>
    <s v="F"/>
    <x v="0"/>
    <x v="0"/>
    <x v="0"/>
    <x v="33"/>
    <x v="6"/>
    <x v="6"/>
    <x v="2"/>
  </r>
  <r>
    <s v="TX501115"/>
    <x v="17"/>
    <x v="2"/>
    <n v="23.4"/>
    <n v="70.199999999999989"/>
    <x v="43"/>
    <d v="2025-02-17T00:00:00"/>
    <s v="F"/>
    <x v="0"/>
    <x v="2"/>
    <x v="0"/>
    <x v="3"/>
    <x v="5"/>
    <x v="6"/>
    <x v="2"/>
  </r>
  <r>
    <s v="TX501116"/>
    <x v="5"/>
    <x v="8"/>
    <n v="27.4"/>
    <n v="219.2"/>
    <x v="43"/>
    <d v="2025-02-16T00:00:00"/>
    <s v="F"/>
    <x v="2"/>
    <x v="0"/>
    <x v="0"/>
    <x v="3"/>
    <x v="2"/>
    <x v="6"/>
    <x v="2"/>
  </r>
  <r>
    <s v="TX501117"/>
    <x v="5"/>
    <x v="9"/>
    <n v="68.400000000000006"/>
    <n v="342"/>
    <x v="43"/>
    <d v="2025-02-14T00:00:00"/>
    <s v="F"/>
    <x v="0"/>
    <x v="0"/>
    <x v="0"/>
    <x v="3"/>
    <x v="3"/>
    <x v="6"/>
    <x v="2"/>
  </r>
  <r>
    <s v="TX501118"/>
    <x v="6"/>
    <x v="0"/>
    <n v="51.9"/>
    <n v="51.9"/>
    <x v="43"/>
    <d v="2025-02-13T00:00:00"/>
    <s v="F"/>
    <x v="0"/>
    <x v="0"/>
    <x v="0"/>
    <x v="3"/>
    <x v="7"/>
    <x v="6"/>
    <x v="2"/>
  </r>
  <r>
    <s v="TX501119"/>
    <x v="0"/>
    <x v="9"/>
    <n v="26.4"/>
    <n v="132"/>
    <x v="43"/>
    <d v="2025-02-16T00:00:00"/>
    <s v="F"/>
    <x v="0"/>
    <x v="2"/>
    <x v="0"/>
    <x v="3"/>
    <x v="2"/>
    <x v="6"/>
    <x v="2"/>
  </r>
  <r>
    <s v="TX501120"/>
    <x v="12"/>
    <x v="1"/>
    <n v="117"/>
    <n v="234"/>
    <x v="43"/>
    <d v="2025-02-14T00:00:00"/>
    <s v="F"/>
    <x v="1"/>
    <x v="1"/>
    <x v="0"/>
    <x v="3"/>
    <x v="3"/>
    <x v="6"/>
    <x v="2"/>
  </r>
  <r>
    <s v="TX501121"/>
    <x v="7"/>
    <x v="2"/>
    <n v="49.6"/>
    <n v="148.80000000000001"/>
    <x v="44"/>
    <d v="2025-02-16T00:00:00"/>
    <s v="F"/>
    <x v="0"/>
    <x v="0"/>
    <x v="0"/>
    <x v="3"/>
    <x v="1"/>
    <x v="6"/>
    <x v="2"/>
  </r>
  <r>
    <s v="TX501122"/>
    <x v="4"/>
    <x v="2"/>
    <n v="38"/>
    <n v="114"/>
    <x v="44"/>
    <d v="2025-02-17T00:00:00"/>
    <s v="M"/>
    <x v="2"/>
    <x v="4"/>
    <x v="0"/>
    <x v="3"/>
    <x v="2"/>
    <x v="6"/>
    <x v="1"/>
  </r>
  <r>
    <s v="TX501123"/>
    <x v="0"/>
    <x v="2"/>
    <n v="20.6"/>
    <n v="61.800000000000004"/>
    <x v="44"/>
    <d v="2025-02-16T00:00:00"/>
    <s v="F"/>
    <x v="4"/>
    <x v="2"/>
    <x v="0"/>
    <x v="3"/>
    <x v="1"/>
    <x v="6"/>
    <x v="2"/>
  </r>
  <r>
    <s v="TX501124"/>
    <x v="0"/>
    <x v="1"/>
    <n v="16"/>
    <n v="32"/>
    <x v="44"/>
    <d v="2025-02-15T00:00:00"/>
    <s v="M"/>
    <x v="1"/>
    <x v="1"/>
    <x v="0"/>
    <x v="49"/>
    <x v="3"/>
    <x v="6"/>
    <x v="1"/>
  </r>
  <r>
    <s v="TX501125"/>
    <x v="15"/>
    <x v="12"/>
    <n v="49.3"/>
    <n v="197.2"/>
    <x v="44"/>
    <d v="2025-02-15T00:00:00"/>
    <s v="F"/>
    <x v="2"/>
    <x v="0"/>
    <x v="0"/>
    <x v="23"/>
    <x v="3"/>
    <x v="6"/>
    <x v="2"/>
  </r>
  <r>
    <s v="TX501126"/>
    <x v="9"/>
    <x v="1"/>
    <n v="24.1"/>
    <n v="48.2"/>
    <x v="44"/>
    <d v="2025-02-18T00:00:00"/>
    <s v="F"/>
    <x v="0"/>
    <x v="0"/>
    <x v="0"/>
    <x v="6"/>
    <x v="5"/>
    <x v="6"/>
    <x v="2"/>
  </r>
  <r>
    <s v="TX501127"/>
    <x v="15"/>
    <x v="8"/>
    <n v="32.700000000000003"/>
    <n v="261.60000000000002"/>
    <x v="44"/>
    <d v="2025-02-15T00:00:00"/>
    <s v="F"/>
    <x v="1"/>
    <x v="0"/>
    <x v="0"/>
    <x v="6"/>
    <x v="3"/>
    <x v="6"/>
    <x v="2"/>
  </r>
  <r>
    <s v="TX501128"/>
    <x v="6"/>
    <x v="2"/>
    <n v="74.400000000000006"/>
    <n v="223.20000000000002"/>
    <x v="44"/>
    <d v="2025-02-15T00:00:00"/>
    <s v="F"/>
    <x v="3"/>
    <x v="2"/>
    <x v="0"/>
    <x v="8"/>
    <x v="3"/>
    <x v="6"/>
    <x v="2"/>
  </r>
  <r>
    <s v="TX501129"/>
    <x v="12"/>
    <x v="0"/>
    <n v="45.6"/>
    <n v="45.6"/>
    <x v="44"/>
    <d v="2025-02-18T00:00:00"/>
    <s v="F"/>
    <x v="4"/>
    <x v="0"/>
    <x v="0"/>
    <x v="8"/>
    <x v="5"/>
    <x v="6"/>
    <x v="2"/>
  </r>
  <r>
    <s v="TX501130"/>
    <x v="8"/>
    <x v="8"/>
    <n v="19.600000000000001"/>
    <n v="156.80000000000001"/>
    <x v="44"/>
    <d v="2025-02-27T00:00:00"/>
    <s v="F"/>
    <x v="0"/>
    <x v="0"/>
    <x v="0"/>
    <x v="8"/>
    <x v="10"/>
    <x v="6"/>
    <x v="2"/>
  </r>
  <r>
    <s v="TX501131"/>
    <x v="9"/>
    <x v="0"/>
    <n v="51.8"/>
    <n v="51.8"/>
    <x v="44"/>
    <d v="2025-02-15T00:00:00"/>
    <s v="F"/>
    <x v="1"/>
    <x v="0"/>
    <x v="0"/>
    <x v="8"/>
    <x v="3"/>
    <x v="6"/>
    <x v="2"/>
  </r>
  <r>
    <s v="TX501132"/>
    <x v="6"/>
    <x v="0"/>
    <n v="74.7"/>
    <n v="74.7"/>
    <x v="44"/>
    <d v="2025-02-15T00:00:00"/>
    <s v="M"/>
    <x v="0"/>
    <x v="1"/>
    <x v="0"/>
    <x v="8"/>
    <x v="3"/>
    <x v="6"/>
    <x v="1"/>
  </r>
  <r>
    <s v="TX501133"/>
    <x v="19"/>
    <x v="2"/>
    <n v="22.4"/>
    <n v="67.199999999999989"/>
    <x v="44"/>
    <d v="2025-02-15T00:00:00"/>
    <s v="F"/>
    <x v="1"/>
    <x v="2"/>
    <x v="0"/>
    <x v="9"/>
    <x v="3"/>
    <x v="6"/>
    <x v="2"/>
  </r>
  <r>
    <s v="TX501134"/>
    <x v="1"/>
    <x v="12"/>
    <n v="31.4"/>
    <n v="125.6"/>
    <x v="44"/>
    <d v="2025-02-15T00:00:00"/>
    <s v="F"/>
    <x v="1"/>
    <x v="0"/>
    <x v="0"/>
    <x v="9"/>
    <x v="3"/>
    <x v="6"/>
    <x v="2"/>
  </r>
  <r>
    <s v="TX501135"/>
    <x v="6"/>
    <x v="0"/>
    <n v="94"/>
    <n v="94"/>
    <x v="44"/>
    <d v="2025-02-14T00:00:00"/>
    <s v="F"/>
    <x v="1"/>
    <x v="2"/>
    <x v="0"/>
    <x v="10"/>
    <x v="7"/>
    <x v="6"/>
    <x v="2"/>
  </r>
  <r>
    <s v="TX501136"/>
    <x v="10"/>
    <x v="0"/>
    <n v="22.3"/>
    <n v="22.3"/>
    <x v="44"/>
    <d v="2025-02-15T00:00:00"/>
    <s v="M"/>
    <x v="4"/>
    <x v="0"/>
    <x v="0"/>
    <x v="20"/>
    <x v="3"/>
    <x v="6"/>
    <x v="1"/>
  </r>
  <r>
    <s v="TX501137"/>
    <x v="0"/>
    <x v="0"/>
    <n v="21.9"/>
    <n v="21.9"/>
    <x v="44"/>
    <d v="2025-02-17T00:00:00"/>
    <s v="F"/>
    <x v="2"/>
    <x v="0"/>
    <x v="0"/>
    <x v="21"/>
    <x v="2"/>
    <x v="6"/>
    <x v="2"/>
  </r>
  <r>
    <s v="TX501138"/>
    <x v="17"/>
    <x v="2"/>
    <n v="27"/>
    <n v="81"/>
    <x v="44"/>
    <d v="2025-02-16T00:00:00"/>
    <s v="F"/>
    <x v="4"/>
    <x v="2"/>
    <x v="0"/>
    <x v="2"/>
    <x v="1"/>
    <x v="6"/>
    <x v="2"/>
  </r>
  <r>
    <s v="TX501139"/>
    <x v="2"/>
    <x v="12"/>
    <n v="149.6"/>
    <n v="598.4"/>
    <x v="44"/>
    <d v="2025-02-14T00:00:00"/>
    <s v="F"/>
    <x v="4"/>
    <x v="0"/>
    <x v="0"/>
    <x v="22"/>
    <x v="7"/>
    <x v="6"/>
    <x v="2"/>
  </r>
  <r>
    <s v="TX501140"/>
    <x v="2"/>
    <x v="12"/>
    <n v="129.1"/>
    <n v="516.4"/>
    <x v="44"/>
    <d v="2025-02-24T00:00:00"/>
    <s v="M"/>
    <x v="0"/>
    <x v="1"/>
    <x v="0"/>
    <x v="3"/>
    <x v="14"/>
    <x v="6"/>
    <x v="1"/>
  </r>
  <r>
    <s v="TX501141"/>
    <x v="1"/>
    <x v="4"/>
    <n v="40.4"/>
    <n v="484.79999999999995"/>
    <x v="44"/>
    <d v="2025-02-15T00:00:00"/>
    <s v="M"/>
    <x v="1"/>
    <x v="1"/>
    <x v="0"/>
    <x v="3"/>
    <x v="3"/>
    <x v="6"/>
    <x v="1"/>
  </r>
  <r>
    <s v="TX501142"/>
    <x v="4"/>
    <x v="2"/>
    <n v="48.5"/>
    <n v="145.5"/>
    <x v="44"/>
    <d v="2025-02-16T00:00:00"/>
    <s v="F"/>
    <x v="0"/>
    <x v="4"/>
    <x v="0"/>
    <x v="3"/>
    <x v="1"/>
    <x v="6"/>
    <x v="2"/>
  </r>
  <r>
    <s v="TX501143"/>
    <x v="9"/>
    <x v="1"/>
    <n v="37.6"/>
    <n v="75.2"/>
    <x v="44"/>
    <d v="2025-02-16T00:00:00"/>
    <s v="F"/>
    <x v="1"/>
    <x v="2"/>
    <x v="0"/>
    <x v="3"/>
    <x v="1"/>
    <x v="6"/>
    <x v="2"/>
  </r>
  <r>
    <s v="TX501144"/>
    <x v="8"/>
    <x v="1"/>
    <n v="19.600000000000001"/>
    <n v="39.200000000000003"/>
    <x v="44"/>
    <d v="2025-02-15T00:00:00"/>
    <s v="M"/>
    <x v="3"/>
    <x v="4"/>
    <x v="0"/>
    <x v="43"/>
    <x v="3"/>
    <x v="6"/>
    <x v="1"/>
  </r>
  <r>
    <s v="TX501145"/>
    <x v="8"/>
    <x v="9"/>
    <n v="18.5"/>
    <n v="92.5"/>
    <x v="44"/>
    <d v="2025-02-15T00:00:00"/>
    <s v="F"/>
    <x v="2"/>
    <x v="1"/>
    <x v="0"/>
    <x v="6"/>
    <x v="3"/>
    <x v="6"/>
    <x v="2"/>
  </r>
  <r>
    <s v="TX501146"/>
    <x v="5"/>
    <x v="2"/>
    <n v="25.5"/>
    <n v="76.5"/>
    <x v="44"/>
    <d v="2025-02-16T00:00:00"/>
    <s v="F"/>
    <x v="4"/>
    <x v="1"/>
    <x v="0"/>
    <x v="6"/>
    <x v="1"/>
    <x v="6"/>
    <x v="2"/>
  </r>
  <r>
    <s v="TX501147"/>
    <x v="2"/>
    <x v="1"/>
    <n v="94.7"/>
    <n v="189.4"/>
    <x v="44"/>
    <d v="2025-02-15T00:00:00"/>
    <s v="F"/>
    <x v="2"/>
    <x v="0"/>
    <x v="0"/>
    <x v="36"/>
    <x v="3"/>
    <x v="6"/>
    <x v="2"/>
  </r>
  <r>
    <s v="TX501148"/>
    <x v="1"/>
    <x v="13"/>
    <n v="38.799999999999997"/>
    <n v="232.79999999999998"/>
    <x v="44"/>
    <d v="2025-02-19T00:00:00"/>
    <s v="F"/>
    <x v="2"/>
    <x v="2"/>
    <x v="0"/>
    <x v="8"/>
    <x v="0"/>
    <x v="6"/>
    <x v="2"/>
  </r>
  <r>
    <s v="TX501149"/>
    <x v="9"/>
    <x v="1"/>
    <n v="49.4"/>
    <n v="98.8"/>
    <x v="45"/>
    <d v="2025-02-23T00:00:00"/>
    <s v="M"/>
    <x v="4"/>
    <x v="1"/>
    <x v="0"/>
    <x v="8"/>
    <x v="9"/>
    <x v="6"/>
    <x v="1"/>
  </r>
  <r>
    <s v="TX501150"/>
    <x v="7"/>
    <x v="2"/>
    <n v="68"/>
    <n v="204"/>
    <x v="45"/>
    <d v="2025-02-18T00:00:00"/>
    <s v="M"/>
    <x v="0"/>
    <x v="2"/>
    <x v="0"/>
    <x v="8"/>
    <x v="2"/>
    <x v="6"/>
    <x v="1"/>
  </r>
  <r>
    <s v="TX501151"/>
    <x v="15"/>
    <x v="3"/>
    <n v="63.7"/>
    <n v="445.90000000000003"/>
    <x v="45"/>
    <d v="2025-02-16T00:00:00"/>
    <s v="F"/>
    <x v="2"/>
    <x v="2"/>
    <x v="0"/>
    <x v="8"/>
    <x v="3"/>
    <x v="6"/>
    <x v="2"/>
  </r>
  <r>
    <s v="TX501152"/>
    <x v="10"/>
    <x v="1"/>
    <n v="66.2"/>
    <n v="132.4"/>
    <x v="45"/>
    <d v="2025-02-16T00:00:00"/>
    <s v="F"/>
    <x v="4"/>
    <x v="2"/>
    <x v="0"/>
    <x v="17"/>
    <x v="3"/>
    <x v="6"/>
    <x v="2"/>
  </r>
  <r>
    <s v="TX501153"/>
    <x v="12"/>
    <x v="2"/>
    <n v="32.299999999999997"/>
    <n v="96.899999999999991"/>
    <x v="45"/>
    <d v="2025-02-16T00:00:00"/>
    <s v="O"/>
    <x v="2"/>
    <x v="1"/>
    <x v="0"/>
    <x v="9"/>
    <x v="3"/>
    <x v="6"/>
    <x v="3"/>
  </r>
  <r>
    <s v="TX501154"/>
    <x v="4"/>
    <x v="1"/>
    <n v="66.900000000000006"/>
    <n v="133.80000000000001"/>
    <x v="45"/>
    <d v="2025-02-18T00:00:00"/>
    <s v="M"/>
    <x v="1"/>
    <x v="0"/>
    <x v="0"/>
    <x v="11"/>
    <x v="2"/>
    <x v="6"/>
    <x v="1"/>
  </r>
  <r>
    <s v="TX501155"/>
    <x v="4"/>
    <x v="4"/>
    <n v="25.2"/>
    <n v="302.39999999999998"/>
    <x v="45"/>
    <d v="2025-02-19T00:00:00"/>
    <s v="F"/>
    <x v="0"/>
    <x v="1"/>
    <x v="0"/>
    <x v="11"/>
    <x v="5"/>
    <x v="6"/>
    <x v="2"/>
  </r>
  <r>
    <s v="TX501156"/>
    <x v="10"/>
    <x v="13"/>
    <n v="29.5"/>
    <n v="177"/>
    <x v="45"/>
    <d v="2025-02-16T00:00:00"/>
    <s v="M"/>
    <x v="2"/>
    <x v="0"/>
    <x v="0"/>
    <x v="11"/>
    <x v="3"/>
    <x v="6"/>
    <x v="1"/>
  </r>
  <r>
    <s v="TX501157"/>
    <x v="8"/>
    <x v="9"/>
    <n v="21.6"/>
    <n v="108"/>
    <x v="45"/>
    <d v="2025-02-17T00:00:00"/>
    <s v="F"/>
    <x v="0"/>
    <x v="2"/>
    <x v="0"/>
    <x v="32"/>
    <x v="1"/>
    <x v="6"/>
    <x v="2"/>
  </r>
  <r>
    <s v="TX501158"/>
    <x v="12"/>
    <x v="2"/>
    <n v="69"/>
    <n v="207"/>
    <x v="45"/>
    <d v="2025-02-16T00:00:00"/>
    <s v="F"/>
    <x v="0"/>
    <x v="0"/>
    <x v="0"/>
    <x v="18"/>
    <x v="3"/>
    <x v="6"/>
    <x v="2"/>
  </r>
  <r>
    <s v="TX501159"/>
    <x v="7"/>
    <x v="1"/>
    <n v="115"/>
    <n v="230"/>
    <x v="45"/>
    <d v="2025-02-19T00:00:00"/>
    <s v="M"/>
    <x v="0"/>
    <x v="2"/>
    <x v="0"/>
    <x v="18"/>
    <x v="5"/>
    <x v="6"/>
    <x v="1"/>
  </r>
  <r>
    <s v="TX501160"/>
    <x v="2"/>
    <x v="1"/>
    <n v="109.3"/>
    <n v="218.6"/>
    <x v="45"/>
    <d v="2025-02-17T00:00:00"/>
    <s v=""/>
    <x v="3"/>
    <x v="1"/>
    <x v="0"/>
    <x v="19"/>
    <x v="1"/>
    <x v="6"/>
    <x v="0"/>
  </r>
  <r>
    <s v="TX501161"/>
    <x v="9"/>
    <x v="1"/>
    <n v="66.599999999999994"/>
    <n v="133.19999999999999"/>
    <x v="45"/>
    <d v="2025-02-18T00:00:00"/>
    <s v=""/>
    <x v="4"/>
    <x v="1"/>
    <x v="0"/>
    <x v="19"/>
    <x v="2"/>
    <x v="6"/>
    <x v="0"/>
  </r>
  <r>
    <s v="TX501162"/>
    <x v="12"/>
    <x v="9"/>
    <n v="47.7"/>
    <n v="238.5"/>
    <x v="45"/>
    <d v="2025-02-16T00:00:00"/>
    <s v="M"/>
    <x v="3"/>
    <x v="2"/>
    <x v="0"/>
    <x v="21"/>
    <x v="3"/>
    <x v="6"/>
    <x v="1"/>
  </r>
  <r>
    <s v="TX501163"/>
    <x v="8"/>
    <x v="1"/>
    <n v="46"/>
    <n v="92"/>
    <x v="45"/>
    <d v="2025-02-16T00:00:00"/>
    <s v="F"/>
    <x v="4"/>
    <x v="4"/>
    <x v="0"/>
    <x v="22"/>
    <x v="3"/>
    <x v="6"/>
    <x v="2"/>
  </r>
  <r>
    <s v="TX501164"/>
    <x v="1"/>
    <x v="13"/>
    <n v="39.299999999999997"/>
    <n v="235.79999999999998"/>
    <x v="45"/>
    <d v="2025-02-17T00:00:00"/>
    <s v="M"/>
    <x v="3"/>
    <x v="2"/>
    <x v="0"/>
    <x v="3"/>
    <x v="1"/>
    <x v="6"/>
    <x v="1"/>
  </r>
  <r>
    <s v="TX501165"/>
    <x v="9"/>
    <x v="0"/>
    <n v="70.2"/>
    <n v="70.2"/>
    <x v="45"/>
    <d v="2025-02-16T00:00:00"/>
    <s v="F"/>
    <x v="0"/>
    <x v="4"/>
    <x v="0"/>
    <x v="3"/>
    <x v="3"/>
    <x v="6"/>
    <x v="2"/>
  </r>
  <r>
    <s v="TX501166"/>
    <x v="3"/>
    <x v="12"/>
    <n v="71.5"/>
    <n v="286"/>
    <x v="45"/>
    <d v="2025-02-15T00:00:00"/>
    <s v="F"/>
    <x v="1"/>
    <x v="2"/>
    <x v="0"/>
    <x v="3"/>
    <x v="7"/>
    <x v="6"/>
    <x v="2"/>
  </r>
  <r>
    <s v="TX501167"/>
    <x v="10"/>
    <x v="3"/>
    <n v="31"/>
    <n v="217"/>
    <x v="45"/>
    <d v="2025-02-22T00:00:00"/>
    <s v="F"/>
    <x v="3"/>
    <x v="2"/>
    <x v="0"/>
    <x v="3"/>
    <x v="6"/>
    <x v="6"/>
    <x v="2"/>
  </r>
  <r>
    <s v="TX501168"/>
    <x v="2"/>
    <x v="9"/>
    <n v="68.2"/>
    <n v="341"/>
    <x v="45"/>
    <d v="2025-02-20T00:00:00"/>
    <s v="F"/>
    <x v="0"/>
    <x v="2"/>
    <x v="0"/>
    <x v="3"/>
    <x v="0"/>
    <x v="6"/>
    <x v="2"/>
  </r>
  <r>
    <s v="TX501169"/>
    <x v="2"/>
    <x v="0"/>
    <n v="91.4"/>
    <n v="91.4"/>
    <x v="45"/>
    <d v="2025-02-19T00:00:00"/>
    <s v="F"/>
    <x v="1"/>
    <x v="2"/>
    <x v="0"/>
    <x v="6"/>
    <x v="5"/>
    <x v="6"/>
    <x v="2"/>
  </r>
  <r>
    <s v="TX501170"/>
    <x v="6"/>
    <x v="7"/>
    <n v="112.9"/>
    <n v="1129"/>
    <x v="45"/>
    <d v="2025-02-16T00:00:00"/>
    <s v="F"/>
    <x v="0"/>
    <x v="0"/>
    <x v="0"/>
    <x v="6"/>
    <x v="3"/>
    <x v="6"/>
    <x v="2"/>
  </r>
  <r>
    <s v="TX501171"/>
    <x v="17"/>
    <x v="11"/>
    <n v="33.700000000000003"/>
    <n v="303.3"/>
    <x v="45"/>
    <d v="2025-02-16T00:00:00"/>
    <s v="F"/>
    <x v="1"/>
    <x v="2"/>
    <x v="0"/>
    <x v="8"/>
    <x v="3"/>
    <x v="6"/>
    <x v="2"/>
  </r>
  <r>
    <s v="TX501172"/>
    <x v="15"/>
    <x v="7"/>
    <n v="35.299999999999997"/>
    <n v="353"/>
    <x v="45"/>
    <d v="2025-02-17T00:00:00"/>
    <s v="M"/>
    <x v="2"/>
    <x v="0"/>
    <x v="0"/>
    <x v="8"/>
    <x v="1"/>
    <x v="6"/>
    <x v="1"/>
  </r>
  <r>
    <s v="TX501173"/>
    <x v="18"/>
    <x v="2"/>
    <n v="45.6"/>
    <n v="136.80000000000001"/>
    <x v="45"/>
    <d v="2025-02-19T00:00:00"/>
    <s v="M"/>
    <x v="3"/>
    <x v="0"/>
    <x v="0"/>
    <x v="8"/>
    <x v="5"/>
    <x v="6"/>
    <x v="1"/>
  </r>
  <r>
    <s v="TX501174"/>
    <x v="7"/>
    <x v="3"/>
    <n v="47.1"/>
    <n v="329.7"/>
    <x v="45"/>
    <d v="2025-02-16T00:00:00"/>
    <s v="F"/>
    <x v="4"/>
    <x v="2"/>
    <x v="0"/>
    <x v="9"/>
    <x v="3"/>
    <x v="6"/>
    <x v="2"/>
  </r>
  <r>
    <s v="TX501175"/>
    <x v="8"/>
    <x v="9"/>
    <n v="16.2"/>
    <n v="81"/>
    <x v="45"/>
    <d v="2025-02-17T00:00:00"/>
    <s v="F"/>
    <x v="3"/>
    <x v="2"/>
    <x v="0"/>
    <x v="19"/>
    <x v="1"/>
    <x v="6"/>
    <x v="2"/>
  </r>
  <r>
    <s v="TX501176"/>
    <x v="1"/>
    <x v="1"/>
    <n v="159.69999999999999"/>
    <n v="319.39999999999998"/>
    <x v="46"/>
    <d v="2025-02-17T00:00:00"/>
    <s v="M"/>
    <x v="4"/>
    <x v="0"/>
    <x v="0"/>
    <x v="13"/>
    <x v="3"/>
    <x v="7"/>
    <x v="1"/>
  </r>
  <r>
    <s v="TX501177"/>
    <x v="8"/>
    <x v="12"/>
    <n v="19"/>
    <n v="76"/>
    <x v="46"/>
    <d v="2025-02-23T00:00:00"/>
    <s v="F"/>
    <x v="2"/>
    <x v="2"/>
    <x v="0"/>
    <x v="21"/>
    <x v="6"/>
    <x v="7"/>
    <x v="2"/>
  </r>
  <r>
    <s v="TX501178"/>
    <x v="6"/>
    <x v="13"/>
    <n v="91.1"/>
    <n v="546.59999999999991"/>
    <x v="46"/>
    <d v="2025-02-25T00:00:00"/>
    <s v="F"/>
    <x v="4"/>
    <x v="0"/>
    <x v="0"/>
    <x v="21"/>
    <x v="8"/>
    <x v="7"/>
    <x v="2"/>
  </r>
  <r>
    <s v="TX501179"/>
    <x v="2"/>
    <x v="9"/>
    <n v="94.1"/>
    <n v="470.5"/>
    <x v="46"/>
    <d v="2025-02-19T00:00:00"/>
    <s v=""/>
    <x v="1"/>
    <x v="1"/>
    <x v="0"/>
    <x v="21"/>
    <x v="2"/>
    <x v="7"/>
    <x v="0"/>
  </r>
  <r>
    <s v="TX501180"/>
    <x v="9"/>
    <x v="11"/>
    <n v="21.1"/>
    <n v="189.9"/>
    <x v="46"/>
    <d v="2025-02-17T00:00:00"/>
    <s v="F"/>
    <x v="4"/>
    <x v="2"/>
    <x v="0"/>
    <x v="51"/>
    <x v="3"/>
    <x v="7"/>
    <x v="2"/>
  </r>
  <r>
    <s v="TX501181"/>
    <x v="8"/>
    <x v="3"/>
    <n v="15.3"/>
    <n v="107.10000000000001"/>
    <x v="46"/>
    <d v="2025-02-24T00:00:00"/>
    <s v="F"/>
    <x v="2"/>
    <x v="0"/>
    <x v="0"/>
    <x v="1"/>
    <x v="9"/>
    <x v="7"/>
    <x v="2"/>
  </r>
  <r>
    <s v="TX501182"/>
    <x v="15"/>
    <x v="12"/>
    <n v="21.3"/>
    <n v="85.2"/>
    <x v="46"/>
    <d v="2025-02-19T00:00:00"/>
    <s v="M"/>
    <x v="1"/>
    <x v="0"/>
    <x v="0"/>
    <x v="3"/>
    <x v="2"/>
    <x v="7"/>
    <x v="1"/>
  </r>
  <r>
    <s v="TX501183"/>
    <x v="0"/>
    <x v="1"/>
    <n v="23.2"/>
    <n v="46.4"/>
    <x v="46"/>
    <d v="2025-02-16T00:00:00"/>
    <s v=""/>
    <x v="3"/>
    <x v="1"/>
    <x v="0"/>
    <x v="3"/>
    <x v="7"/>
    <x v="7"/>
    <x v="0"/>
  </r>
  <r>
    <s v="TX501184"/>
    <x v="4"/>
    <x v="2"/>
    <n v="25.7"/>
    <n v="77.099999999999994"/>
    <x v="46"/>
    <d v="2025-02-17T00:00:00"/>
    <s v="M"/>
    <x v="4"/>
    <x v="0"/>
    <x v="0"/>
    <x v="3"/>
    <x v="3"/>
    <x v="7"/>
    <x v="1"/>
  </r>
  <r>
    <s v="TX501185"/>
    <x v="0"/>
    <x v="11"/>
    <n v="31.6"/>
    <n v="284.40000000000003"/>
    <x v="46"/>
    <d v="2025-02-18T00:00:00"/>
    <s v="F"/>
    <x v="0"/>
    <x v="0"/>
    <x v="0"/>
    <x v="3"/>
    <x v="1"/>
    <x v="7"/>
    <x v="2"/>
  </r>
  <r>
    <s v="TX501186"/>
    <x v="6"/>
    <x v="0"/>
    <n v="64.2"/>
    <n v="64.2"/>
    <x v="46"/>
    <d v="2025-02-21T00:00:00"/>
    <s v="M"/>
    <x v="0"/>
    <x v="0"/>
    <x v="0"/>
    <x v="3"/>
    <x v="0"/>
    <x v="7"/>
    <x v="1"/>
  </r>
  <r>
    <s v="TX501187"/>
    <x v="8"/>
    <x v="1"/>
    <n v="55.8"/>
    <n v="111.6"/>
    <x v="46"/>
    <d v="2025-02-18T00:00:00"/>
    <s v=""/>
    <x v="0"/>
    <x v="0"/>
    <x v="0"/>
    <x v="3"/>
    <x v="1"/>
    <x v="7"/>
    <x v="0"/>
  </r>
  <r>
    <s v="TX501188"/>
    <x v="8"/>
    <x v="1"/>
    <n v="28.1"/>
    <n v="56.2"/>
    <x v="46"/>
    <d v="2025-02-17T00:00:00"/>
    <s v="F"/>
    <x v="4"/>
    <x v="1"/>
    <x v="0"/>
    <x v="3"/>
    <x v="3"/>
    <x v="7"/>
    <x v="2"/>
  </r>
  <r>
    <s v="TX501189"/>
    <x v="0"/>
    <x v="1"/>
    <n v="11.6"/>
    <n v="23.2"/>
    <x v="46"/>
    <d v="2025-02-18T00:00:00"/>
    <s v="F"/>
    <x v="1"/>
    <x v="0"/>
    <x v="0"/>
    <x v="24"/>
    <x v="1"/>
    <x v="7"/>
    <x v="2"/>
  </r>
  <r>
    <s v="TX501190"/>
    <x v="5"/>
    <x v="2"/>
    <n v="50.4"/>
    <n v="151.19999999999999"/>
    <x v="46"/>
    <d v="2025-02-17T00:00:00"/>
    <s v="M"/>
    <x v="4"/>
    <x v="2"/>
    <x v="0"/>
    <x v="25"/>
    <x v="3"/>
    <x v="7"/>
    <x v="1"/>
  </r>
  <r>
    <s v="TX501191"/>
    <x v="6"/>
    <x v="13"/>
    <n v="48.3"/>
    <n v="289.79999999999995"/>
    <x v="46"/>
    <d v="2025-02-20T00:00:00"/>
    <s v="F"/>
    <x v="0"/>
    <x v="0"/>
    <x v="0"/>
    <x v="25"/>
    <x v="5"/>
    <x v="7"/>
    <x v="2"/>
  </r>
  <r>
    <s v="TX501192"/>
    <x v="17"/>
    <x v="3"/>
    <n v="32.200000000000003"/>
    <n v="225.40000000000003"/>
    <x v="46"/>
    <d v="2025-02-18T00:00:00"/>
    <s v="F"/>
    <x v="2"/>
    <x v="0"/>
    <x v="0"/>
    <x v="25"/>
    <x v="1"/>
    <x v="7"/>
    <x v="2"/>
  </r>
  <r>
    <s v="TX501193"/>
    <x v="7"/>
    <x v="31"/>
    <n v="48.5"/>
    <n v="1358"/>
    <x v="46"/>
    <d v="2025-02-17T00:00:00"/>
    <s v="M"/>
    <x v="0"/>
    <x v="0"/>
    <x v="0"/>
    <x v="5"/>
    <x v="3"/>
    <x v="7"/>
    <x v="1"/>
  </r>
  <r>
    <s v="TX501194"/>
    <x v="2"/>
    <x v="9"/>
    <n v="62"/>
    <n v="310"/>
    <x v="46"/>
    <d v="2025-02-19T00:00:00"/>
    <s v="F"/>
    <x v="1"/>
    <x v="0"/>
    <x v="0"/>
    <x v="6"/>
    <x v="2"/>
    <x v="7"/>
    <x v="2"/>
  </r>
  <r>
    <s v="TX501195"/>
    <x v="8"/>
    <x v="2"/>
    <n v="32.1"/>
    <n v="96.300000000000011"/>
    <x v="47"/>
    <d v="2025-02-19T00:00:00"/>
    <s v="M"/>
    <x v="0"/>
    <x v="0"/>
    <x v="0"/>
    <x v="6"/>
    <x v="1"/>
    <x v="7"/>
    <x v="1"/>
  </r>
  <r>
    <s v="TX501196"/>
    <x v="12"/>
    <x v="2"/>
    <n v="106.1"/>
    <n v="318.29999999999995"/>
    <x v="47"/>
    <d v="2025-02-19T00:00:00"/>
    <s v="M"/>
    <x v="0"/>
    <x v="1"/>
    <x v="0"/>
    <x v="7"/>
    <x v="1"/>
    <x v="7"/>
    <x v="1"/>
  </r>
  <r>
    <s v="TX501197"/>
    <x v="10"/>
    <x v="2"/>
    <n v="23.5"/>
    <n v="70.5"/>
    <x v="47"/>
    <d v="2025-02-20T00:00:00"/>
    <s v="M"/>
    <x v="0"/>
    <x v="4"/>
    <x v="0"/>
    <x v="7"/>
    <x v="2"/>
    <x v="7"/>
    <x v="1"/>
  </r>
  <r>
    <s v="TX501198"/>
    <x v="1"/>
    <x v="1"/>
    <n v="35.6"/>
    <n v="71.2"/>
    <x v="47"/>
    <d v="2025-02-22T00:00:00"/>
    <s v="M"/>
    <x v="4"/>
    <x v="0"/>
    <x v="0"/>
    <x v="8"/>
    <x v="0"/>
    <x v="7"/>
    <x v="1"/>
  </r>
  <r>
    <s v="TX501199"/>
    <x v="1"/>
    <x v="1"/>
    <n v="63.5"/>
    <n v="127"/>
    <x v="47"/>
    <d v="2025-02-17T00:00:00"/>
    <s v="F"/>
    <x v="1"/>
    <x v="2"/>
    <x v="0"/>
    <x v="8"/>
    <x v="7"/>
    <x v="7"/>
    <x v="2"/>
  </r>
  <r>
    <s v="TX501200"/>
    <x v="6"/>
    <x v="3"/>
    <n v="82.9"/>
    <n v="580.30000000000007"/>
    <x v="47"/>
    <d v="2025-02-22T00:00:00"/>
    <s v="F"/>
    <x v="4"/>
    <x v="0"/>
    <x v="0"/>
    <x v="9"/>
    <x v="0"/>
    <x v="7"/>
    <x v="2"/>
  </r>
  <r>
    <s v="TX501201"/>
    <x v="6"/>
    <x v="1"/>
    <n v="83.6"/>
    <n v="167.2"/>
    <x v="47"/>
    <d v="2025-02-22T00:00:00"/>
    <s v="F"/>
    <x v="0"/>
    <x v="0"/>
    <x v="0"/>
    <x v="11"/>
    <x v="0"/>
    <x v="7"/>
    <x v="2"/>
  </r>
  <r>
    <s v="TX501202"/>
    <x v="4"/>
    <x v="1"/>
    <n v="29.4"/>
    <n v="58.8"/>
    <x v="47"/>
    <d v="2025-02-17T00:00:00"/>
    <s v="F"/>
    <x v="0"/>
    <x v="1"/>
    <x v="0"/>
    <x v="30"/>
    <x v="7"/>
    <x v="7"/>
    <x v="2"/>
  </r>
  <r>
    <s v="TX501203"/>
    <x v="2"/>
    <x v="2"/>
    <n v="107.1"/>
    <n v="321.29999999999995"/>
    <x v="47"/>
    <d v="2025-02-21T00:00:00"/>
    <s v="F"/>
    <x v="2"/>
    <x v="0"/>
    <x v="0"/>
    <x v="20"/>
    <x v="5"/>
    <x v="7"/>
    <x v="2"/>
  </r>
  <r>
    <s v="TX501204"/>
    <x v="2"/>
    <x v="0"/>
    <n v="62.7"/>
    <n v="62.7"/>
    <x v="47"/>
    <d v="2025-02-21T00:00:00"/>
    <s v="M"/>
    <x v="1"/>
    <x v="0"/>
    <x v="0"/>
    <x v="21"/>
    <x v="5"/>
    <x v="7"/>
    <x v="1"/>
  </r>
  <r>
    <s v="TX501205"/>
    <x v="11"/>
    <x v="0"/>
    <n v="41.6"/>
    <n v="41.6"/>
    <x v="47"/>
    <d v="2025-02-18T00:00:00"/>
    <s v="M"/>
    <x v="0"/>
    <x v="1"/>
    <x v="0"/>
    <x v="1"/>
    <x v="3"/>
    <x v="7"/>
    <x v="1"/>
  </r>
  <r>
    <s v="TX501206"/>
    <x v="6"/>
    <x v="0"/>
    <n v="44.2"/>
    <n v="44.2"/>
    <x v="47"/>
    <d v="2025-02-18T00:00:00"/>
    <s v="O"/>
    <x v="0"/>
    <x v="1"/>
    <x v="0"/>
    <x v="1"/>
    <x v="3"/>
    <x v="7"/>
    <x v="3"/>
  </r>
  <r>
    <s v="TX501207"/>
    <x v="4"/>
    <x v="13"/>
    <n v="40.4"/>
    <n v="242.39999999999998"/>
    <x v="47"/>
    <d v="2025-03-02T00:00:00"/>
    <s v="F"/>
    <x v="2"/>
    <x v="0"/>
    <x v="0"/>
    <x v="22"/>
    <x v="10"/>
    <x v="7"/>
    <x v="2"/>
  </r>
  <r>
    <s v="TX501208"/>
    <x v="15"/>
    <x v="13"/>
    <n v="59.6"/>
    <n v="357.6"/>
    <x v="47"/>
    <d v="2025-02-18T00:00:00"/>
    <s v="F"/>
    <x v="4"/>
    <x v="0"/>
    <x v="0"/>
    <x v="34"/>
    <x v="3"/>
    <x v="7"/>
    <x v="2"/>
  </r>
  <r>
    <s v="TX501209"/>
    <x v="17"/>
    <x v="4"/>
    <n v="63.8"/>
    <n v="765.59999999999991"/>
    <x v="47"/>
    <d v="2025-02-18T00:00:00"/>
    <s v="M"/>
    <x v="1"/>
    <x v="0"/>
    <x v="0"/>
    <x v="3"/>
    <x v="3"/>
    <x v="7"/>
    <x v="1"/>
  </r>
  <r>
    <s v="TX501210"/>
    <x v="9"/>
    <x v="13"/>
    <n v="30.8"/>
    <n v="184.8"/>
    <x v="47"/>
    <d v="2025-02-19T00:00:00"/>
    <s v="M"/>
    <x v="4"/>
    <x v="0"/>
    <x v="0"/>
    <x v="3"/>
    <x v="1"/>
    <x v="7"/>
    <x v="1"/>
  </r>
  <r>
    <s v="TX501211"/>
    <x v="1"/>
    <x v="1"/>
    <n v="41.5"/>
    <n v="83"/>
    <x v="47"/>
    <d v="2025-02-20T00:00:00"/>
    <s v="O"/>
    <x v="0"/>
    <x v="0"/>
    <x v="0"/>
    <x v="3"/>
    <x v="2"/>
    <x v="7"/>
    <x v="3"/>
  </r>
  <r>
    <s v="TX501212"/>
    <x v="10"/>
    <x v="12"/>
    <n v="44.7"/>
    <n v="178.8"/>
    <x v="47"/>
    <d v="2025-02-19T00:00:00"/>
    <s v="F"/>
    <x v="2"/>
    <x v="1"/>
    <x v="0"/>
    <x v="3"/>
    <x v="1"/>
    <x v="7"/>
    <x v="2"/>
  </r>
  <r>
    <s v="TX501213"/>
    <x v="12"/>
    <x v="1"/>
    <n v="64.099999999999994"/>
    <n v="128.19999999999999"/>
    <x v="47"/>
    <d v="2025-02-21T00:00:00"/>
    <s v="F"/>
    <x v="1"/>
    <x v="4"/>
    <x v="0"/>
    <x v="3"/>
    <x v="5"/>
    <x v="7"/>
    <x v="2"/>
  </r>
  <r>
    <s v="TX501214"/>
    <x v="8"/>
    <x v="0"/>
    <n v="15.9"/>
    <n v="15.9"/>
    <x v="47"/>
    <d v="2025-02-20T00:00:00"/>
    <s v=""/>
    <x v="1"/>
    <x v="0"/>
    <x v="0"/>
    <x v="3"/>
    <x v="2"/>
    <x v="7"/>
    <x v="0"/>
  </r>
  <r>
    <s v="TX501215"/>
    <x v="6"/>
    <x v="1"/>
    <n v="78.7"/>
    <n v="157.4"/>
    <x v="47"/>
    <d v="2025-02-17T00:00:00"/>
    <s v="F"/>
    <x v="2"/>
    <x v="1"/>
    <x v="0"/>
    <x v="3"/>
    <x v="7"/>
    <x v="7"/>
    <x v="2"/>
  </r>
  <r>
    <s v="TX501216"/>
    <x v="5"/>
    <x v="4"/>
    <n v="29.6"/>
    <n v="355.20000000000005"/>
    <x v="47"/>
    <d v="2025-02-21T00:00:00"/>
    <s v="M"/>
    <x v="2"/>
    <x v="4"/>
    <x v="0"/>
    <x v="3"/>
    <x v="5"/>
    <x v="7"/>
    <x v="1"/>
  </r>
  <r>
    <s v="TX501217"/>
    <x v="8"/>
    <x v="12"/>
    <n v="21.5"/>
    <n v="86"/>
    <x v="47"/>
    <d v="2025-02-20T00:00:00"/>
    <s v="M"/>
    <x v="1"/>
    <x v="0"/>
    <x v="0"/>
    <x v="3"/>
    <x v="2"/>
    <x v="7"/>
    <x v="1"/>
  </r>
  <r>
    <s v="TX501218"/>
    <x v="9"/>
    <x v="2"/>
    <n v="74.900000000000006"/>
    <n v="224.70000000000002"/>
    <x v="47"/>
    <d v="2025-02-26T00:00:00"/>
    <s v="M"/>
    <x v="3"/>
    <x v="1"/>
    <x v="0"/>
    <x v="3"/>
    <x v="8"/>
    <x v="7"/>
    <x v="1"/>
  </r>
  <r>
    <s v="TX501219"/>
    <x v="10"/>
    <x v="13"/>
    <n v="45"/>
    <n v="270"/>
    <x v="47"/>
    <d v="2025-02-22T00:00:00"/>
    <s v="F"/>
    <x v="2"/>
    <x v="0"/>
    <x v="0"/>
    <x v="3"/>
    <x v="0"/>
    <x v="7"/>
    <x v="2"/>
  </r>
  <r>
    <s v="TX501220"/>
    <x v="7"/>
    <x v="33"/>
    <n v="37.9"/>
    <n v="1288.5999999999999"/>
    <x v="47"/>
    <d v="2025-02-18T00:00:00"/>
    <s v="M"/>
    <x v="0"/>
    <x v="0"/>
    <x v="0"/>
    <x v="3"/>
    <x v="3"/>
    <x v="7"/>
    <x v="1"/>
  </r>
  <r>
    <s v="TX501221"/>
    <x v="6"/>
    <x v="2"/>
    <n v="56.6"/>
    <n v="169.8"/>
    <x v="47"/>
    <d v="2025-02-18T00:00:00"/>
    <s v="M"/>
    <x v="3"/>
    <x v="0"/>
    <x v="0"/>
    <x v="3"/>
    <x v="3"/>
    <x v="7"/>
    <x v="1"/>
  </r>
  <r>
    <s v="TX501222"/>
    <x v="3"/>
    <x v="15"/>
    <n v="84.5"/>
    <n v="1098.5"/>
    <x v="47"/>
    <d v="2025-02-20T00:00:00"/>
    <s v="F"/>
    <x v="1"/>
    <x v="4"/>
    <x v="0"/>
    <x v="3"/>
    <x v="2"/>
    <x v="7"/>
    <x v="2"/>
  </r>
  <r>
    <s v="TX501223"/>
    <x v="2"/>
    <x v="9"/>
    <n v="105.4"/>
    <n v="527"/>
    <x v="47"/>
    <d v="2025-02-19T00:00:00"/>
    <s v="F"/>
    <x v="1"/>
    <x v="1"/>
    <x v="0"/>
    <x v="3"/>
    <x v="1"/>
    <x v="7"/>
    <x v="2"/>
  </r>
  <r>
    <s v="TX501224"/>
    <x v="18"/>
    <x v="3"/>
    <n v="39.4"/>
    <n v="275.8"/>
    <x v="48"/>
    <d v="2025-02-18T00:00:00"/>
    <s v="M"/>
    <x v="1"/>
    <x v="0"/>
    <x v="0"/>
    <x v="37"/>
    <x v="7"/>
    <x v="7"/>
    <x v="1"/>
  </r>
  <r>
    <s v="TX501225"/>
    <x v="19"/>
    <x v="2"/>
    <n v="38"/>
    <n v="114"/>
    <x v="48"/>
    <d v="2025-02-21T00:00:00"/>
    <s v="M"/>
    <x v="4"/>
    <x v="1"/>
    <x v="0"/>
    <x v="6"/>
    <x v="2"/>
    <x v="7"/>
    <x v="1"/>
  </r>
  <r>
    <s v="TX501226"/>
    <x v="17"/>
    <x v="12"/>
    <n v="42.5"/>
    <n v="170"/>
    <x v="48"/>
    <d v="2025-02-20T00:00:00"/>
    <s v=""/>
    <x v="0"/>
    <x v="0"/>
    <x v="0"/>
    <x v="6"/>
    <x v="1"/>
    <x v="7"/>
    <x v="0"/>
  </r>
  <r>
    <s v="TX501227"/>
    <x v="15"/>
    <x v="0"/>
    <n v="62.3"/>
    <n v="62.3"/>
    <x v="48"/>
    <d v="2025-02-27T00:00:00"/>
    <s v="M"/>
    <x v="0"/>
    <x v="2"/>
    <x v="0"/>
    <x v="6"/>
    <x v="8"/>
    <x v="7"/>
    <x v="1"/>
  </r>
  <r>
    <s v="TX501228"/>
    <x v="6"/>
    <x v="9"/>
    <n v="49.1"/>
    <n v="245.5"/>
    <x v="48"/>
    <d v="2025-02-20T00:00:00"/>
    <s v="F"/>
    <x v="1"/>
    <x v="2"/>
    <x v="0"/>
    <x v="7"/>
    <x v="1"/>
    <x v="7"/>
    <x v="2"/>
  </r>
  <r>
    <s v="TX501229"/>
    <x v="3"/>
    <x v="1"/>
    <n v="30.5"/>
    <n v="61"/>
    <x v="48"/>
    <d v="2025-02-21T00:00:00"/>
    <s v="M"/>
    <x v="0"/>
    <x v="2"/>
    <x v="0"/>
    <x v="8"/>
    <x v="2"/>
    <x v="7"/>
    <x v="1"/>
  </r>
  <r>
    <s v="TX501230"/>
    <x v="2"/>
    <x v="1"/>
    <n v="154.80000000000001"/>
    <n v="309.60000000000002"/>
    <x v="48"/>
    <d v="2025-02-21T00:00:00"/>
    <s v="F"/>
    <x v="1"/>
    <x v="4"/>
    <x v="0"/>
    <x v="8"/>
    <x v="2"/>
    <x v="7"/>
    <x v="2"/>
  </r>
  <r>
    <s v="TX501231"/>
    <x v="6"/>
    <x v="0"/>
    <n v="45"/>
    <n v="45"/>
    <x v="48"/>
    <d v="2025-02-22T00:00:00"/>
    <s v="M"/>
    <x v="3"/>
    <x v="1"/>
    <x v="0"/>
    <x v="8"/>
    <x v="5"/>
    <x v="7"/>
    <x v="1"/>
  </r>
  <r>
    <s v="TX501232"/>
    <x v="0"/>
    <x v="3"/>
    <n v="15.3"/>
    <n v="107.10000000000001"/>
    <x v="48"/>
    <d v="2025-02-19T00:00:00"/>
    <s v="M"/>
    <x v="0"/>
    <x v="2"/>
    <x v="0"/>
    <x v="8"/>
    <x v="3"/>
    <x v="7"/>
    <x v="1"/>
  </r>
  <r>
    <s v="TX501233"/>
    <x v="2"/>
    <x v="5"/>
    <n v="88.6"/>
    <n v="974.59999999999991"/>
    <x v="48"/>
    <d v="2025-02-21T00:00:00"/>
    <s v="F"/>
    <x v="0"/>
    <x v="4"/>
    <x v="0"/>
    <x v="17"/>
    <x v="2"/>
    <x v="7"/>
    <x v="2"/>
  </r>
  <r>
    <s v="TX501234"/>
    <x v="9"/>
    <x v="1"/>
    <n v="49.7"/>
    <n v="99.4"/>
    <x v="48"/>
    <d v="2025-02-20T00:00:00"/>
    <s v="O"/>
    <x v="4"/>
    <x v="0"/>
    <x v="0"/>
    <x v="10"/>
    <x v="1"/>
    <x v="7"/>
    <x v="3"/>
  </r>
  <r>
    <s v="TX501235"/>
    <x v="10"/>
    <x v="0"/>
    <n v="29"/>
    <n v="29"/>
    <x v="48"/>
    <d v="2025-02-19T00:00:00"/>
    <s v="M"/>
    <x v="0"/>
    <x v="0"/>
    <x v="0"/>
    <x v="11"/>
    <x v="3"/>
    <x v="7"/>
    <x v="1"/>
  </r>
  <r>
    <s v="TX501236"/>
    <x v="1"/>
    <x v="0"/>
    <n v="60.7"/>
    <n v="60.7"/>
    <x v="48"/>
    <d v="2025-02-19T00:00:00"/>
    <s v="O"/>
    <x v="0"/>
    <x v="1"/>
    <x v="0"/>
    <x v="11"/>
    <x v="3"/>
    <x v="7"/>
    <x v="3"/>
  </r>
  <r>
    <s v="TX501237"/>
    <x v="17"/>
    <x v="12"/>
    <n v="87.4"/>
    <n v="349.6"/>
    <x v="48"/>
    <d v="2025-02-20T00:00:00"/>
    <s v=""/>
    <x v="0"/>
    <x v="0"/>
    <x v="0"/>
    <x v="11"/>
    <x v="1"/>
    <x v="7"/>
    <x v="0"/>
  </r>
  <r>
    <s v="TX501238"/>
    <x v="4"/>
    <x v="3"/>
    <n v="44.5"/>
    <n v="311.5"/>
    <x v="48"/>
    <d v="2025-02-22T00:00:00"/>
    <s v="F"/>
    <x v="2"/>
    <x v="2"/>
    <x v="0"/>
    <x v="19"/>
    <x v="5"/>
    <x v="7"/>
    <x v="2"/>
  </r>
  <r>
    <s v="TX501239"/>
    <x v="2"/>
    <x v="0"/>
    <n v="141"/>
    <n v="141"/>
    <x v="48"/>
    <d v="2025-02-19T00:00:00"/>
    <s v="M"/>
    <x v="4"/>
    <x v="2"/>
    <x v="0"/>
    <x v="19"/>
    <x v="3"/>
    <x v="7"/>
    <x v="1"/>
  </r>
  <r>
    <s v="TX501240"/>
    <x v="0"/>
    <x v="2"/>
    <n v="16.7"/>
    <n v="50.099999999999994"/>
    <x v="48"/>
    <d v="2025-02-26T00:00:00"/>
    <s v="F"/>
    <x v="0"/>
    <x v="0"/>
    <x v="0"/>
    <x v="20"/>
    <x v="9"/>
    <x v="7"/>
    <x v="2"/>
  </r>
  <r>
    <s v="TX501241"/>
    <x v="1"/>
    <x v="1"/>
    <n v="77.5"/>
    <n v="155"/>
    <x v="48"/>
    <d v="2025-02-19T00:00:00"/>
    <s v=""/>
    <x v="2"/>
    <x v="2"/>
    <x v="0"/>
    <x v="13"/>
    <x v="3"/>
    <x v="7"/>
    <x v="0"/>
  </r>
  <r>
    <s v="TX501242"/>
    <x v="2"/>
    <x v="1"/>
    <n v="163"/>
    <n v="326"/>
    <x v="48"/>
    <d v="2025-02-24T00:00:00"/>
    <s v="F"/>
    <x v="4"/>
    <x v="0"/>
    <x v="0"/>
    <x v="21"/>
    <x v="4"/>
    <x v="7"/>
    <x v="2"/>
  </r>
  <r>
    <s v="TX501243"/>
    <x v="4"/>
    <x v="11"/>
    <n v="21.4"/>
    <n v="192.6"/>
    <x v="48"/>
    <d v="2025-02-21T00:00:00"/>
    <s v="F"/>
    <x v="0"/>
    <x v="0"/>
    <x v="0"/>
    <x v="51"/>
    <x v="2"/>
    <x v="7"/>
    <x v="2"/>
  </r>
  <r>
    <s v="TX501244"/>
    <x v="10"/>
    <x v="5"/>
    <n v="31"/>
    <n v="341"/>
    <x v="48"/>
    <d v="2025-02-20T00:00:00"/>
    <s v="F"/>
    <x v="3"/>
    <x v="2"/>
    <x v="0"/>
    <x v="1"/>
    <x v="1"/>
    <x v="7"/>
    <x v="2"/>
  </r>
  <r>
    <s v="TX501245"/>
    <x v="7"/>
    <x v="1"/>
    <n v="34.299999999999997"/>
    <n v="68.599999999999994"/>
    <x v="48"/>
    <d v="2025-02-20T00:00:00"/>
    <s v="F"/>
    <x v="0"/>
    <x v="3"/>
    <x v="0"/>
    <x v="1"/>
    <x v="1"/>
    <x v="7"/>
    <x v="2"/>
  </r>
  <r>
    <s v="TX501246"/>
    <x v="17"/>
    <x v="9"/>
    <n v="48.2"/>
    <n v="241"/>
    <x v="48"/>
    <d v="2025-02-19T00:00:00"/>
    <s v="M"/>
    <x v="1"/>
    <x v="1"/>
    <x v="0"/>
    <x v="2"/>
    <x v="3"/>
    <x v="7"/>
    <x v="1"/>
  </r>
  <r>
    <s v="TX501247"/>
    <x v="10"/>
    <x v="0"/>
    <n v="51.4"/>
    <n v="51.4"/>
    <x v="48"/>
    <d v="2025-02-19T00:00:00"/>
    <s v="M"/>
    <x v="0"/>
    <x v="0"/>
    <x v="0"/>
    <x v="3"/>
    <x v="3"/>
    <x v="7"/>
    <x v="1"/>
  </r>
  <r>
    <s v="TX501248"/>
    <x v="2"/>
    <x v="9"/>
    <n v="117.2"/>
    <n v="586"/>
    <x v="48"/>
    <d v="2025-02-21T00:00:00"/>
    <s v="F"/>
    <x v="4"/>
    <x v="4"/>
    <x v="0"/>
    <x v="3"/>
    <x v="2"/>
    <x v="7"/>
    <x v="2"/>
  </r>
  <r>
    <s v="TX501249"/>
    <x v="8"/>
    <x v="0"/>
    <n v="38.1"/>
    <n v="38.1"/>
    <x v="48"/>
    <d v="2025-02-18T00:00:00"/>
    <s v="M"/>
    <x v="4"/>
    <x v="1"/>
    <x v="0"/>
    <x v="3"/>
    <x v="7"/>
    <x v="7"/>
    <x v="1"/>
  </r>
  <r>
    <s v="TX501250"/>
    <x v="0"/>
    <x v="1"/>
    <n v="44.1"/>
    <n v="88.2"/>
    <x v="48"/>
    <d v="2025-02-20T00:00:00"/>
    <s v="F"/>
    <x v="2"/>
    <x v="0"/>
    <x v="0"/>
    <x v="3"/>
    <x v="1"/>
    <x v="7"/>
    <x v="2"/>
  </r>
  <r>
    <s v="TX501251"/>
    <x v="15"/>
    <x v="12"/>
    <n v="80.5"/>
    <n v="322"/>
    <x v="48"/>
    <d v="2025-02-23T00:00:00"/>
    <s v="M"/>
    <x v="0"/>
    <x v="0"/>
    <x v="0"/>
    <x v="3"/>
    <x v="0"/>
    <x v="7"/>
    <x v="1"/>
  </r>
  <r>
    <s v="TX501252"/>
    <x v="18"/>
    <x v="12"/>
    <n v="33.6"/>
    <n v="134.4"/>
    <x v="48"/>
    <d v="2025-02-23T00:00:00"/>
    <s v=""/>
    <x v="0"/>
    <x v="2"/>
    <x v="0"/>
    <x v="3"/>
    <x v="0"/>
    <x v="7"/>
    <x v="0"/>
  </r>
  <r>
    <s v="TX501253"/>
    <x v="9"/>
    <x v="11"/>
    <n v="41.8"/>
    <n v="376.2"/>
    <x v="48"/>
    <d v="2025-02-19T00:00:00"/>
    <s v="F"/>
    <x v="0"/>
    <x v="1"/>
    <x v="0"/>
    <x v="3"/>
    <x v="3"/>
    <x v="7"/>
    <x v="2"/>
  </r>
  <r>
    <s v="TX501254"/>
    <x v="1"/>
    <x v="1"/>
    <n v="106.2"/>
    <n v="212.4"/>
    <x v="48"/>
    <d v="2025-02-18T00:00:00"/>
    <s v="F"/>
    <x v="4"/>
    <x v="2"/>
    <x v="0"/>
    <x v="3"/>
    <x v="7"/>
    <x v="7"/>
    <x v="2"/>
  </r>
  <r>
    <s v="TX501255"/>
    <x v="1"/>
    <x v="1"/>
    <n v="52.6"/>
    <n v="105.2"/>
    <x v="48"/>
    <d v="2025-02-19T00:00:00"/>
    <s v="F"/>
    <x v="0"/>
    <x v="2"/>
    <x v="0"/>
    <x v="5"/>
    <x v="3"/>
    <x v="7"/>
    <x v="2"/>
  </r>
  <r>
    <s v="TX501256"/>
    <x v="11"/>
    <x v="3"/>
    <n v="68.5"/>
    <n v="479.5"/>
    <x v="48"/>
    <d v="2025-02-19T00:00:00"/>
    <s v="F"/>
    <x v="1"/>
    <x v="0"/>
    <x v="0"/>
    <x v="5"/>
    <x v="3"/>
    <x v="7"/>
    <x v="2"/>
  </r>
  <r>
    <s v="TX501257"/>
    <x v="1"/>
    <x v="1"/>
    <n v="55.6"/>
    <n v="111.2"/>
    <x v="48"/>
    <d v="2025-02-20T00:00:00"/>
    <s v="M"/>
    <x v="1"/>
    <x v="2"/>
    <x v="0"/>
    <x v="6"/>
    <x v="1"/>
    <x v="7"/>
    <x v="1"/>
  </r>
  <r>
    <s v="TX501258"/>
    <x v="2"/>
    <x v="2"/>
    <n v="134.9"/>
    <n v="404.70000000000005"/>
    <x v="48"/>
    <d v="2025-02-19T00:00:00"/>
    <s v="M"/>
    <x v="1"/>
    <x v="1"/>
    <x v="0"/>
    <x v="6"/>
    <x v="3"/>
    <x v="7"/>
    <x v="1"/>
  </r>
  <r>
    <s v="TX501259"/>
    <x v="10"/>
    <x v="9"/>
    <n v="42.6"/>
    <n v="213"/>
    <x v="48"/>
    <d v="2025-02-19T00:00:00"/>
    <s v="M"/>
    <x v="0"/>
    <x v="0"/>
    <x v="0"/>
    <x v="6"/>
    <x v="3"/>
    <x v="7"/>
    <x v="1"/>
  </r>
  <r>
    <s v="TX501260"/>
    <x v="7"/>
    <x v="9"/>
    <n v="60.6"/>
    <n v="303"/>
    <x v="48"/>
    <d v="2025-02-20T00:00:00"/>
    <s v="M"/>
    <x v="4"/>
    <x v="0"/>
    <x v="0"/>
    <x v="6"/>
    <x v="1"/>
    <x v="7"/>
    <x v="1"/>
  </r>
  <r>
    <s v="TX501261"/>
    <x v="8"/>
    <x v="1"/>
    <n v="43.5"/>
    <n v="87"/>
    <x v="48"/>
    <d v="2025-02-19T00:00:00"/>
    <s v="M"/>
    <x v="4"/>
    <x v="0"/>
    <x v="0"/>
    <x v="7"/>
    <x v="3"/>
    <x v="7"/>
    <x v="1"/>
  </r>
  <r>
    <s v="TX501262"/>
    <x v="2"/>
    <x v="1"/>
    <n v="187.1"/>
    <n v="374.2"/>
    <x v="48"/>
    <d v="2025-02-19T00:00:00"/>
    <s v="M"/>
    <x v="1"/>
    <x v="2"/>
    <x v="0"/>
    <x v="8"/>
    <x v="3"/>
    <x v="7"/>
    <x v="1"/>
  </r>
  <r>
    <s v="TX501263"/>
    <x v="9"/>
    <x v="2"/>
    <n v="32"/>
    <n v="96"/>
    <x v="48"/>
    <d v="2025-02-20T00:00:00"/>
    <s v="M"/>
    <x v="0"/>
    <x v="0"/>
    <x v="0"/>
    <x v="8"/>
    <x v="1"/>
    <x v="7"/>
    <x v="1"/>
  </r>
  <r>
    <s v="TX501264"/>
    <x v="9"/>
    <x v="1"/>
    <n v="110.8"/>
    <n v="221.6"/>
    <x v="48"/>
    <d v="2025-02-18T00:00:00"/>
    <s v="M"/>
    <x v="0"/>
    <x v="2"/>
    <x v="0"/>
    <x v="8"/>
    <x v="7"/>
    <x v="7"/>
    <x v="1"/>
  </r>
  <r>
    <s v="TX501265"/>
    <x v="10"/>
    <x v="15"/>
    <n v="36.1"/>
    <n v="469.3"/>
    <x v="48"/>
    <d v="2025-02-21T00:00:00"/>
    <s v="F"/>
    <x v="0"/>
    <x v="1"/>
    <x v="0"/>
    <x v="8"/>
    <x v="2"/>
    <x v="7"/>
    <x v="2"/>
  </r>
  <r>
    <s v="TX501266"/>
    <x v="0"/>
    <x v="0"/>
    <n v="24.1"/>
    <n v="24.1"/>
    <x v="48"/>
    <d v="2025-02-20T00:00:00"/>
    <s v="F"/>
    <x v="4"/>
    <x v="2"/>
    <x v="0"/>
    <x v="8"/>
    <x v="1"/>
    <x v="7"/>
    <x v="2"/>
  </r>
  <r>
    <s v="TX501267"/>
    <x v="19"/>
    <x v="2"/>
    <n v="30.5"/>
    <n v="91.5"/>
    <x v="48"/>
    <d v="2025-02-20T00:00:00"/>
    <s v="M"/>
    <x v="1"/>
    <x v="0"/>
    <x v="0"/>
    <x v="8"/>
    <x v="1"/>
    <x v="7"/>
    <x v="1"/>
  </r>
  <r>
    <s v="TX501268"/>
    <x v="18"/>
    <x v="13"/>
    <n v="68.3"/>
    <n v="409.79999999999995"/>
    <x v="48"/>
    <d v="2025-02-21T00:00:00"/>
    <s v="M"/>
    <x v="0"/>
    <x v="0"/>
    <x v="0"/>
    <x v="8"/>
    <x v="2"/>
    <x v="7"/>
    <x v="1"/>
  </r>
  <r>
    <s v="TX501269"/>
    <x v="7"/>
    <x v="2"/>
    <n v="43.3"/>
    <n v="129.89999999999998"/>
    <x v="48"/>
    <d v="2025-02-22T00:00:00"/>
    <s v="F"/>
    <x v="0"/>
    <x v="0"/>
    <x v="0"/>
    <x v="17"/>
    <x v="5"/>
    <x v="7"/>
    <x v="2"/>
  </r>
  <r>
    <s v="TX501270"/>
    <x v="3"/>
    <x v="0"/>
    <n v="101.7"/>
    <n v="101.7"/>
    <x v="48"/>
    <d v="2025-02-21T00:00:00"/>
    <s v="F"/>
    <x v="0"/>
    <x v="1"/>
    <x v="0"/>
    <x v="17"/>
    <x v="2"/>
    <x v="7"/>
    <x v="2"/>
  </r>
  <r>
    <s v="TX501271"/>
    <x v="11"/>
    <x v="1"/>
    <n v="54.2"/>
    <n v="108.4"/>
    <x v="48"/>
    <d v="2025-02-19T00:00:00"/>
    <s v="F"/>
    <x v="0"/>
    <x v="1"/>
    <x v="0"/>
    <x v="17"/>
    <x v="3"/>
    <x v="7"/>
    <x v="2"/>
  </r>
  <r>
    <s v="TX501272"/>
    <x v="16"/>
    <x v="1"/>
    <n v="51"/>
    <n v="102"/>
    <x v="48"/>
    <d v="2025-02-18T00:00:00"/>
    <s v="M"/>
    <x v="1"/>
    <x v="0"/>
    <x v="0"/>
    <x v="26"/>
    <x v="7"/>
    <x v="7"/>
    <x v="1"/>
  </r>
  <r>
    <s v="TX501273"/>
    <x v="4"/>
    <x v="1"/>
    <n v="23.1"/>
    <n v="46.2"/>
    <x v="48"/>
    <d v="2025-02-21T00:00:00"/>
    <s v="M"/>
    <x v="1"/>
    <x v="0"/>
    <x v="0"/>
    <x v="10"/>
    <x v="2"/>
    <x v="7"/>
    <x v="1"/>
  </r>
  <r>
    <s v="TX501274"/>
    <x v="12"/>
    <x v="13"/>
    <n v="60.1"/>
    <n v="360.6"/>
    <x v="48"/>
    <d v="2025-02-18T00:00:00"/>
    <s v="F"/>
    <x v="3"/>
    <x v="0"/>
    <x v="0"/>
    <x v="11"/>
    <x v="7"/>
    <x v="7"/>
    <x v="2"/>
  </r>
  <r>
    <s v="TX501275"/>
    <x v="2"/>
    <x v="3"/>
    <n v="87.5"/>
    <n v="612.5"/>
    <x v="48"/>
    <d v="2025-02-20T00:00:00"/>
    <s v="F"/>
    <x v="0"/>
    <x v="1"/>
    <x v="0"/>
    <x v="11"/>
    <x v="1"/>
    <x v="7"/>
    <x v="2"/>
  </r>
  <r>
    <s v="TX501276"/>
    <x v="1"/>
    <x v="2"/>
    <n v="51"/>
    <n v="153"/>
    <x v="48"/>
    <d v="2025-02-19T00:00:00"/>
    <s v="F"/>
    <x v="1"/>
    <x v="0"/>
    <x v="0"/>
    <x v="11"/>
    <x v="3"/>
    <x v="7"/>
    <x v="2"/>
  </r>
  <r>
    <s v="TX501277"/>
    <x v="8"/>
    <x v="12"/>
    <n v="19.2"/>
    <n v="76.8"/>
    <x v="48"/>
    <d v="2025-02-20T00:00:00"/>
    <s v="F"/>
    <x v="0"/>
    <x v="0"/>
    <x v="0"/>
    <x v="11"/>
    <x v="1"/>
    <x v="7"/>
    <x v="2"/>
  </r>
  <r>
    <s v="TX501278"/>
    <x v="5"/>
    <x v="8"/>
    <n v="26.5"/>
    <n v="212"/>
    <x v="48"/>
    <d v="2025-02-19T00:00:00"/>
    <s v=""/>
    <x v="3"/>
    <x v="2"/>
    <x v="0"/>
    <x v="11"/>
    <x v="3"/>
    <x v="7"/>
    <x v="0"/>
  </r>
  <r>
    <s v="TX501279"/>
    <x v="2"/>
    <x v="1"/>
    <n v="220.3"/>
    <n v="440.6"/>
    <x v="48"/>
    <d v="2025-02-19T00:00:00"/>
    <s v="F"/>
    <x v="1"/>
    <x v="4"/>
    <x v="0"/>
    <x v="53"/>
    <x v="3"/>
    <x v="7"/>
    <x v="2"/>
  </r>
  <r>
    <s v="TX501280"/>
    <x v="8"/>
    <x v="2"/>
    <n v="45.7"/>
    <n v="137.10000000000002"/>
    <x v="48"/>
    <d v="2025-02-19T00:00:00"/>
    <s v="F"/>
    <x v="4"/>
    <x v="0"/>
    <x v="0"/>
    <x v="30"/>
    <x v="3"/>
    <x v="7"/>
    <x v="2"/>
  </r>
  <r>
    <s v="TX501281"/>
    <x v="5"/>
    <x v="9"/>
    <n v="47.1"/>
    <n v="235.5"/>
    <x v="48"/>
    <d v="2025-02-22T00:00:00"/>
    <s v="F"/>
    <x v="3"/>
    <x v="0"/>
    <x v="0"/>
    <x v="13"/>
    <x v="5"/>
    <x v="7"/>
    <x v="2"/>
  </r>
  <r>
    <s v="TX501282"/>
    <x v="1"/>
    <x v="9"/>
    <n v="81.7"/>
    <n v="408.5"/>
    <x v="48"/>
    <d v="2025-02-19T00:00:00"/>
    <s v="F"/>
    <x v="0"/>
    <x v="2"/>
    <x v="0"/>
    <x v="21"/>
    <x v="3"/>
    <x v="7"/>
    <x v="2"/>
  </r>
  <r>
    <s v="TX501283"/>
    <x v="6"/>
    <x v="7"/>
    <n v="97.8"/>
    <n v="978"/>
    <x v="48"/>
    <d v="2025-02-18T00:00:00"/>
    <s v="M"/>
    <x v="1"/>
    <x v="1"/>
    <x v="0"/>
    <x v="21"/>
    <x v="7"/>
    <x v="7"/>
    <x v="1"/>
  </r>
  <r>
    <s v="TX501284"/>
    <x v="6"/>
    <x v="2"/>
    <n v="42.4"/>
    <n v="127.19999999999999"/>
    <x v="48"/>
    <d v="2025-02-19T00:00:00"/>
    <s v="F"/>
    <x v="0"/>
    <x v="2"/>
    <x v="0"/>
    <x v="54"/>
    <x v="3"/>
    <x v="7"/>
    <x v="2"/>
  </r>
  <r>
    <s v="TX501285"/>
    <x v="2"/>
    <x v="7"/>
    <n v="74.5"/>
    <n v="745"/>
    <x v="48"/>
    <d v="2025-02-19T00:00:00"/>
    <s v="M"/>
    <x v="2"/>
    <x v="1"/>
    <x v="0"/>
    <x v="1"/>
    <x v="3"/>
    <x v="7"/>
    <x v="1"/>
  </r>
  <r>
    <s v="TX501286"/>
    <x v="17"/>
    <x v="13"/>
    <n v="47.4"/>
    <n v="284.39999999999998"/>
    <x v="48"/>
    <d v="2025-02-19T00:00:00"/>
    <s v="M"/>
    <x v="1"/>
    <x v="0"/>
    <x v="0"/>
    <x v="1"/>
    <x v="3"/>
    <x v="7"/>
    <x v="1"/>
  </r>
  <r>
    <s v="TX501287"/>
    <x v="14"/>
    <x v="2"/>
    <n v="17.3"/>
    <n v="51.900000000000006"/>
    <x v="49"/>
    <d v="2025-02-22T00:00:00"/>
    <s v="M"/>
    <x v="2"/>
    <x v="2"/>
    <x v="0"/>
    <x v="1"/>
    <x v="2"/>
    <x v="7"/>
    <x v="1"/>
  </r>
  <r>
    <s v="TX501288"/>
    <x v="12"/>
    <x v="12"/>
    <n v="77.900000000000006"/>
    <n v="311.60000000000002"/>
    <x v="49"/>
    <d v="2025-02-20T00:00:00"/>
    <s v="M"/>
    <x v="1"/>
    <x v="0"/>
    <x v="0"/>
    <x v="2"/>
    <x v="3"/>
    <x v="7"/>
    <x v="1"/>
  </r>
  <r>
    <s v="TX501289"/>
    <x v="8"/>
    <x v="0"/>
    <n v="29.1"/>
    <n v="29.1"/>
    <x v="49"/>
    <d v="2025-02-22T00:00:00"/>
    <s v="M"/>
    <x v="0"/>
    <x v="2"/>
    <x v="0"/>
    <x v="50"/>
    <x v="2"/>
    <x v="7"/>
    <x v="1"/>
  </r>
  <r>
    <s v="TX501290"/>
    <x v="8"/>
    <x v="0"/>
    <n v="49"/>
    <n v="49"/>
    <x v="49"/>
    <d v="2025-02-20T00:00:00"/>
    <s v="M"/>
    <x v="1"/>
    <x v="0"/>
    <x v="0"/>
    <x v="3"/>
    <x v="3"/>
    <x v="7"/>
    <x v="1"/>
  </r>
  <r>
    <s v="TX501291"/>
    <x v="8"/>
    <x v="13"/>
    <n v="21.1"/>
    <n v="126.60000000000001"/>
    <x v="49"/>
    <d v="2025-02-26T00:00:00"/>
    <s v="M"/>
    <x v="0"/>
    <x v="2"/>
    <x v="0"/>
    <x v="3"/>
    <x v="6"/>
    <x v="7"/>
    <x v="1"/>
  </r>
  <r>
    <s v="TX501292"/>
    <x v="4"/>
    <x v="10"/>
    <n v="36.9"/>
    <n v="701.1"/>
    <x v="49"/>
    <d v="2025-02-19T00:00:00"/>
    <s v="F"/>
    <x v="0"/>
    <x v="0"/>
    <x v="0"/>
    <x v="3"/>
    <x v="7"/>
    <x v="7"/>
    <x v="2"/>
  </r>
  <r>
    <s v="TX501293"/>
    <x v="1"/>
    <x v="7"/>
    <n v="92.6"/>
    <n v="926"/>
    <x v="49"/>
    <d v="2025-02-24T00:00:00"/>
    <s v="M"/>
    <x v="4"/>
    <x v="2"/>
    <x v="0"/>
    <x v="3"/>
    <x v="0"/>
    <x v="7"/>
    <x v="1"/>
  </r>
  <r>
    <s v="TX501294"/>
    <x v="10"/>
    <x v="1"/>
    <n v="38"/>
    <n v="76"/>
    <x v="49"/>
    <d v="2025-02-20T00:00:00"/>
    <s v="M"/>
    <x v="1"/>
    <x v="1"/>
    <x v="0"/>
    <x v="3"/>
    <x v="3"/>
    <x v="7"/>
    <x v="1"/>
  </r>
  <r>
    <s v="TX501295"/>
    <x v="5"/>
    <x v="2"/>
    <n v="54.8"/>
    <n v="164.39999999999998"/>
    <x v="49"/>
    <d v="2025-02-23T00:00:00"/>
    <s v=""/>
    <x v="0"/>
    <x v="1"/>
    <x v="0"/>
    <x v="3"/>
    <x v="5"/>
    <x v="7"/>
    <x v="0"/>
  </r>
  <r>
    <s v="TX501296"/>
    <x v="10"/>
    <x v="4"/>
    <n v="56.8"/>
    <n v="681.59999999999991"/>
    <x v="49"/>
    <d v="2025-02-21T00:00:00"/>
    <s v="M"/>
    <x v="1"/>
    <x v="0"/>
    <x v="0"/>
    <x v="3"/>
    <x v="1"/>
    <x v="7"/>
    <x v="1"/>
  </r>
  <r>
    <s v="TX501297"/>
    <x v="11"/>
    <x v="40"/>
    <n v="47.2"/>
    <n v="1557.6000000000001"/>
    <x v="49"/>
    <d v="2025-02-22T00:00:00"/>
    <s v="F"/>
    <x v="1"/>
    <x v="0"/>
    <x v="0"/>
    <x v="3"/>
    <x v="2"/>
    <x v="7"/>
    <x v="2"/>
  </r>
  <r>
    <s v="TX501298"/>
    <x v="7"/>
    <x v="13"/>
    <n v="45.1"/>
    <n v="270.60000000000002"/>
    <x v="49"/>
    <d v="2025-02-20T00:00:00"/>
    <s v="F"/>
    <x v="2"/>
    <x v="0"/>
    <x v="0"/>
    <x v="43"/>
    <x v="3"/>
    <x v="7"/>
    <x v="2"/>
  </r>
  <r>
    <s v="TX501299"/>
    <x v="4"/>
    <x v="4"/>
    <n v="25.2"/>
    <n v="302.39999999999998"/>
    <x v="49"/>
    <d v="2025-02-24T00:00:00"/>
    <s v="F"/>
    <x v="2"/>
    <x v="0"/>
    <x v="0"/>
    <x v="16"/>
    <x v="0"/>
    <x v="7"/>
    <x v="2"/>
  </r>
  <r>
    <s v="TX501300"/>
    <x v="8"/>
    <x v="0"/>
    <n v="22"/>
    <n v="22"/>
    <x v="49"/>
    <d v="2025-02-20T00:00:00"/>
    <s v="F"/>
    <x v="0"/>
    <x v="0"/>
    <x v="0"/>
    <x v="5"/>
    <x v="3"/>
    <x v="7"/>
    <x v="2"/>
  </r>
  <r>
    <s v="TX501301"/>
    <x v="6"/>
    <x v="1"/>
    <n v="42.2"/>
    <n v="84.4"/>
    <x v="49"/>
    <d v="2025-02-20T00:00:00"/>
    <s v="F"/>
    <x v="1"/>
    <x v="1"/>
    <x v="0"/>
    <x v="23"/>
    <x v="3"/>
    <x v="7"/>
    <x v="2"/>
  </r>
  <r>
    <s v="TX501302"/>
    <x v="13"/>
    <x v="2"/>
    <n v="20.5"/>
    <n v="61.5"/>
    <x v="49"/>
    <d v="2025-02-20T00:00:00"/>
    <s v="M"/>
    <x v="0"/>
    <x v="1"/>
    <x v="0"/>
    <x v="6"/>
    <x v="3"/>
    <x v="7"/>
    <x v="1"/>
  </r>
  <r>
    <s v="TX501303"/>
    <x v="2"/>
    <x v="0"/>
    <n v="190.4"/>
    <n v="190.4"/>
    <x v="49"/>
    <d v="2025-02-24T00:00:00"/>
    <s v="M"/>
    <x v="1"/>
    <x v="4"/>
    <x v="0"/>
    <x v="6"/>
    <x v="0"/>
    <x v="7"/>
    <x v="1"/>
  </r>
  <r>
    <s v="TX501304"/>
    <x v="2"/>
    <x v="0"/>
    <n v="121.9"/>
    <n v="121.9"/>
    <x v="49"/>
    <d v="2025-02-21T00:00:00"/>
    <s v="F"/>
    <x v="1"/>
    <x v="2"/>
    <x v="0"/>
    <x v="6"/>
    <x v="1"/>
    <x v="7"/>
    <x v="2"/>
  </r>
  <r>
    <s v="TX501305"/>
    <x v="2"/>
    <x v="13"/>
    <n v="149.19999999999999"/>
    <n v="895.19999999999993"/>
    <x v="49"/>
    <d v="2025-02-20T00:00:00"/>
    <s v="F"/>
    <x v="2"/>
    <x v="2"/>
    <x v="0"/>
    <x v="7"/>
    <x v="3"/>
    <x v="7"/>
    <x v="2"/>
  </r>
  <r>
    <s v="TX501306"/>
    <x v="2"/>
    <x v="0"/>
    <n v="54.1"/>
    <n v="54.1"/>
    <x v="49"/>
    <d v="2025-02-28T00:00:00"/>
    <s v="F"/>
    <x v="2"/>
    <x v="2"/>
    <x v="0"/>
    <x v="7"/>
    <x v="8"/>
    <x v="7"/>
    <x v="2"/>
  </r>
  <r>
    <s v="TX501307"/>
    <x v="5"/>
    <x v="1"/>
    <n v="27.4"/>
    <n v="54.8"/>
    <x v="49"/>
    <d v="2025-02-21T00:00:00"/>
    <s v="M"/>
    <x v="1"/>
    <x v="0"/>
    <x v="0"/>
    <x v="8"/>
    <x v="1"/>
    <x v="7"/>
    <x v="1"/>
  </r>
  <r>
    <s v="TX501308"/>
    <x v="0"/>
    <x v="15"/>
    <n v="30.4"/>
    <n v="395.2"/>
    <x v="49"/>
    <d v="2025-02-20T00:00:00"/>
    <s v="F"/>
    <x v="0"/>
    <x v="2"/>
    <x v="0"/>
    <x v="8"/>
    <x v="3"/>
    <x v="7"/>
    <x v="2"/>
  </r>
  <r>
    <s v="TX501309"/>
    <x v="12"/>
    <x v="2"/>
    <n v="46.2"/>
    <n v="138.60000000000002"/>
    <x v="49"/>
    <d v="2025-02-21T00:00:00"/>
    <s v="M"/>
    <x v="2"/>
    <x v="1"/>
    <x v="0"/>
    <x v="17"/>
    <x v="1"/>
    <x v="7"/>
    <x v="1"/>
  </r>
  <r>
    <s v="TX501310"/>
    <x v="7"/>
    <x v="8"/>
    <n v="78.599999999999994"/>
    <n v="628.79999999999995"/>
    <x v="49"/>
    <d v="2025-02-23T00:00:00"/>
    <s v="M"/>
    <x v="3"/>
    <x v="0"/>
    <x v="0"/>
    <x v="17"/>
    <x v="5"/>
    <x v="7"/>
    <x v="1"/>
  </r>
  <r>
    <s v="TX501311"/>
    <x v="17"/>
    <x v="7"/>
    <n v="25.9"/>
    <n v="259"/>
    <x v="49"/>
    <d v="2025-02-25T00:00:00"/>
    <s v="M"/>
    <x v="4"/>
    <x v="0"/>
    <x v="0"/>
    <x v="9"/>
    <x v="4"/>
    <x v="7"/>
    <x v="1"/>
  </r>
  <r>
    <s v="TX501312"/>
    <x v="6"/>
    <x v="0"/>
    <n v="134.80000000000001"/>
    <n v="134.80000000000001"/>
    <x v="49"/>
    <d v="2025-02-21T00:00:00"/>
    <s v="M"/>
    <x v="2"/>
    <x v="2"/>
    <x v="0"/>
    <x v="9"/>
    <x v="1"/>
    <x v="7"/>
    <x v="1"/>
  </r>
  <r>
    <s v="TX501313"/>
    <x v="15"/>
    <x v="9"/>
    <n v="43.1"/>
    <n v="215.5"/>
    <x v="49"/>
    <d v="2025-02-21T00:00:00"/>
    <s v="F"/>
    <x v="0"/>
    <x v="0"/>
    <x v="0"/>
    <x v="11"/>
    <x v="1"/>
    <x v="7"/>
    <x v="2"/>
  </r>
  <r>
    <s v="TX501314"/>
    <x v="2"/>
    <x v="1"/>
    <n v="215.6"/>
    <n v="431.2"/>
    <x v="49"/>
    <d v="2025-02-20T00:00:00"/>
    <s v="F"/>
    <x v="2"/>
    <x v="0"/>
    <x v="0"/>
    <x v="18"/>
    <x v="3"/>
    <x v="7"/>
    <x v="2"/>
  </r>
  <r>
    <s v="TX501315"/>
    <x v="6"/>
    <x v="1"/>
    <n v="80.7"/>
    <n v="161.4"/>
    <x v="49"/>
    <d v="2025-02-22T00:00:00"/>
    <s v="F"/>
    <x v="3"/>
    <x v="0"/>
    <x v="0"/>
    <x v="18"/>
    <x v="2"/>
    <x v="7"/>
    <x v="2"/>
  </r>
  <r>
    <s v="TX501316"/>
    <x v="10"/>
    <x v="3"/>
    <n v="20.6"/>
    <n v="144.20000000000002"/>
    <x v="49"/>
    <d v="2025-02-24T00:00:00"/>
    <s v=""/>
    <x v="2"/>
    <x v="1"/>
    <x v="0"/>
    <x v="19"/>
    <x v="0"/>
    <x v="7"/>
    <x v="0"/>
  </r>
  <r>
    <s v="TX501317"/>
    <x v="12"/>
    <x v="2"/>
    <n v="37.1"/>
    <n v="111.30000000000001"/>
    <x v="49"/>
    <d v="2025-02-20T00:00:00"/>
    <s v="F"/>
    <x v="0"/>
    <x v="0"/>
    <x v="0"/>
    <x v="52"/>
    <x v="3"/>
    <x v="7"/>
    <x v="2"/>
  </r>
  <r>
    <s v="TX501318"/>
    <x v="12"/>
    <x v="0"/>
    <n v="104.8"/>
    <n v="104.8"/>
    <x v="50"/>
    <d v="2025-02-22T00:00:00"/>
    <s v="F"/>
    <x v="0"/>
    <x v="0"/>
    <x v="0"/>
    <x v="13"/>
    <x v="1"/>
    <x v="7"/>
    <x v="2"/>
  </r>
  <r>
    <s v="TX501319"/>
    <x v="8"/>
    <x v="1"/>
    <n v="59"/>
    <n v="118"/>
    <x v="50"/>
    <d v="2025-02-21T00:00:00"/>
    <s v="M"/>
    <x v="1"/>
    <x v="0"/>
    <x v="0"/>
    <x v="21"/>
    <x v="3"/>
    <x v="7"/>
    <x v="1"/>
  </r>
  <r>
    <s v="TX501320"/>
    <x v="8"/>
    <x v="1"/>
    <n v="32.299999999999997"/>
    <n v="64.599999999999994"/>
    <x v="50"/>
    <d v="2025-02-21T00:00:00"/>
    <s v="M"/>
    <x v="0"/>
    <x v="2"/>
    <x v="0"/>
    <x v="21"/>
    <x v="3"/>
    <x v="7"/>
    <x v="1"/>
  </r>
  <r>
    <s v="TX501321"/>
    <x v="8"/>
    <x v="12"/>
    <n v="28.9"/>
    <n v="115.6"/>
    <x v="50"/>
    <d v="2025-02-27T00:00:00"/>
    <s v="M"/>
    <x v="0"/>
    <x v="0"/>
    <x v="0"/>
    <x v="1"/>
    <x v="6"/>
    <x v="7"/>
    <x v="1"/>
  </r>
  <r>
    <s v="TX501322"/>
    <x v="0"/>
    <x v="1"/>
    <n v="29.6"/>
    <n v="59.2"/>
    <x v="50"/>
    <d v="2025-02-22T00:00:00"/>
    <s v="M"/>
    <x v="0"/>
    <x v="0"/>
    <x v="0"/>
    <x v="1"/>
    <x v="1"/>
    <x v="7"/>
    <x v="1"/>
  </r>
  <r>
    <s v="TX501323"/>
    <x v="0"/>
    <x v="9"/>
    <n v="29.4"/>
    <n v="147"/>
    <x v="50"/>
    <d v="2025-02-23T00:00:00"/>
    <s v="F"/>
    <x v="0"/>
    <x v="0"/>
    <x v="0"/>
    <x v="1"/>
    <x v="2"/>
    <x v="7"/>
    <x v="2"/>
  </r>
  <r>
    <s v="TX501324"/>
    <x v="1"/>
    <x v="1"/>
    <n v="40.6"/>
    <n v="81.2"/>
    <x v="50"/>
    <d v="2025-02-21T00:00:00"/>
    <s v="M"/>
    <x v="0"/>
    <x v="4"/>
    <x v="0"/>
    <x v="2"/>
    <x v="3"/>
    <x v="7"/>
    <x v="1"/>
  </r>
  <r>
    <s v="TX501325"/>
    <x v="0"/>
    <x v="2"/>
    <n v="32.5"/>
    <n v="97.5"/>
    <x v="50"/>
    <d v="2025-02-21T00:00:00"/>
    <s v="M"/>
    <x v="3"/>
    <x v="2"/>
    <x v="0"/>
    <x v="22"/>
    <x v="3"/>
    <x v="7"/>
    <x v="1"/>
  </r>
  <r>
    <s v="TX501326"/>
    <x v="15"/>
    <x v="0"/>
    <n v="26.2"/>
    <n v="26.2"/>
    <x v="50"/>
    <d v="2025-02-22T00:00:00"/>
    <s v="M"/>
    <x v="2"/>
    <x v="0"/>
    <x v="0"/>
    <x v="55"/>
    <x v="1"/>
    <x v="7"/>
    <x v="1"/>
  </r>
  <r>
    <s v="TX501327"/>
    <x v="10"/>
    <x v="17"/>
    <n v="44"/>
    <n v="1320"/>
    <x v="50"/>
    <d v="2025-02-26T00:00:00"/>
    <s v="M"/>
    <x v="4"/>
    <x v="0"/>
    <x v="0"/>
    <x v="3"/>
    <x v="4"/>
    <x v="7"/>
    <x v="1"/>
  </r>
  <r>
    <s v="TX501328"/>
    <x v="7"/>
    <x v="12"/>
    <n v="65.599999999999994"/>
    <n v="262.39999999999998"/>
    <x v="50"/>
    <d v="2025-02-21T00:00:00"/>
    <s v="F"/>
    <x v="1"/>
    <x v="1"/>
    <x v="0"/>
    <x v="3"/>
    <x v="3"/>
    <x v="7"/>
    <x v="2"/>
  </r>
  <r>
    <s v="TX501329"/>
    <x v="5"/>
    <x v="4"/>
    <n v="32.6"/>
    <n v="391.20000000000005"/>
    <x v="50"/>
    <d v="2025-02-21T00:00:00"/>
    <s v="M"/>
    <x v="4"/>
    <x v="0"/>
    <x v="0"/>
    <x v="3"/>
    <x v="3"/>
    <x v="7"/>
    <x v="1"/>
  </r>
  <r>
    <s v="TX501330"/>
    <x v="16"/>
    <x v="1"/>
    <n v="88.7"/>
    <n v="177.4"/>
    <x v="50"/>
    <d v="2025-02-21T00:00:00"/>
    <s v=""/>
    <x v="3"/>
    <x v="2"/>
    <x v="0"/>
    <x v="3"/>
    <x v="3"/>
    <x v="7"/>
    <x v="0"/>
  </r>
  <r>
    <s v="TX501331"/>
    <x v="4"/>
    <x v="1"/>
    <n v="21.3"/>
    <n v="42.6"/>
    <x v="50"/>
    <d v="2025-02-21T00:00:00"/>
    <s v="M"/>
    <x v="0"/>
    <x v="0"/>
    <x v="0"/>
    <x v="3"/>
    <x v="3"/>
    <x v="7"/>
    <x v="1"/>
  </r>
  <r>
    <s v="TX501332"/>
    <x v="4"/>
    <x v="13"/>
    <n v="50.6"/>
    <n v="303.60000000000002"/>
    <x v="50"/>
    <d v="2025-02-24T00:00:00"/>
    <s v="F"/>
    <x v="2"/>
    <x v="0"/>
    <x v="0"/>
    <x v="3"/>
    <x v="5"/>
    <x v="7"/>
    <x v="2"/>
  </r>
  <r>
    <s v="TX501333"/>
    <x v="9"/>
    <x v="38"/>
    <n v="86.9"/>
    <n v="1824.9"/>
    <x v="50"/>
    <d v="2025-02-23T00:00:00"/>
    <s v="F"/>
    <x v="0"/>
    <x v="1"/>
    <x v="0"/>
    <x v="3"/>
    <x v="2"/>
    <x v="7"/>
    <x v="2"/>
  </r>
  <r>
    <s v="TX501334"/>
    <x v="11"/>
    <x v="2"/>
    <n v="31.8"/>
    <n v="95.4"/>
    <x v="50"/>
    <d v="2025-02-22T00:00:00"/>
    <s v="M"/>
    <x v="0"/>
    <x v="2"/>
    <x v="0"/>
    <x v="3"/>
    <x v="1"/>
    <x v="7"/>
    <x v="1"/>
  </r>
  <r>
    <s v="TX501335"/>
    <x v="8"/>
    <x v="0"/>
    <n v="19"/>
    <n v="19"/>
    <x v="50"/>
    <d v="2025-02-21T00:00:00"/>
    <s v="F"/>
    <x v="0"/>
    <x v="2"/>
    <x v="0"/>
    <x v="3"/>
    <x v="3"/>
    <x v="7"/>
    <x v="2"/>
  </r>
  <r>
    <s v="TX501336"/>
    <x v="5"/>
    <x v="0"/>
    <n v="54.5"/>
    <n v="54.5"/>
    <x v="50"/>
    <d v="2025-02-22T00:00:00"/>
    <s v="M"/>
    <x v="0"/>
    <x v="0"/>
    <x v="0"/>
    <x v="3"/>
    <x v="1"/>
    <x v="7"/>
    <x v="1"/>
  </r>
  <r>
    <s v="TX501337"/>
    <x v="9"/>
    <x v="9"/>
    <n v="68.900000000000006"/>
    <n v="344.5"/>
    <x v="50"/>
    <d v="2025-02-22T00:00:00"/>
    <s v="M"/>
    <x v="4"/>
    <x v="1"/>
    <x v="0"/>
    <x v="3"/>
    <x v="1"/>
    <x v="7"/>
    <x v="1"/>
  </r>
  <r>
    <s v="TX501338"/>
    <x v="6"/>
    <x v="2"/>
    <n v="84"/>
    <n v="252"/>
    <x v="50"/>
    <d v="2025-02-21T00:00:00"/>
    <s v="M"/>
    <x v="1"/>
    <x v="4"/>
    <x v="0"/>
    <x v="16"/>
    <x v="3"/>
    <x v="7"/>
    <x v="1"/>
  </r>
  <r>
    <s v="TX501339"/>
    <x v="15"/>
    <x v="8"/>
    <n v="23.1"/>
    <n v="184.8"/>
    <x v="50"/>
    <d v="2025-02-25T00:00:00"/>
    <s v="M"/>
    <x v="0"/>
    <x v="2"/>
    <x v="0"/>
    <x v="23"/>
    <x v="0"/>
    <x v="7"/>
    <x v="1"/>
  </r>
  <r>
    <s v="TX501340"/>
    <x v="7"/>
    <x v="1"/>
    <n v="62.4"/>
    <n v="124.8"/>
    <x v="50"/>
    <d v="2025-02-21T00:00:00"/>
    <s v="F"/>
    <x v="0"/>
    <x v="1"/>
    <x v="0"/>
    <x v="6"/>
    <x v="3"/>
    <x v="7"/>
    <x v="2"/>
  </r>
  <r>
    <s v="TX501341"/>
    <x v="6"/>
    <x v="4"/>
    <n v="40.700000000000003"/>
    <n v="488.40000000000003"/>
    <x v="50"/>
    <d v="2025-02-22T00:00:00"/>
    <s v="M"/>
    <x v="1"/>
    <x v="2"/>
    <x v="0"/>
    <x v="6"/>
    <x v="1"/>
    <x v="7"/>
    <x v="1"/>
  </r>
  <r>
    <s v="TX501342"/>
    <x v="6"/>
    <x v="0"/>
    <n v="49.6"/>
    <n v="49.6"/>
    <x v="50"/>
    <d v="2025-02-23T00:00:00"/>
    <s v="M"/>
    <x v="2"/>
    <x v="0"/>
    <x v="0"/>
    <x v="7"/>
    <x v="2"/>
    <x v="7"/>
    <x v="1"/>
  </r>
  <r>
    <s v="TX501343"/>
    <x v="7"/>
    <x v="41"/>
    <n v="66.599999999999994"/>
    <n v="2996.9999999999995"/>
    <x v="50"/>
    <d v="2025-02-23T00:00:00"/>
    <s v="M"/>
    <x v="2"/>
    <x v="0"/>
    <x v="0"/>
    <x v="8"/>
    <x v="2"/>
    <x v="7"/>
    <x v="1"/>
  </r>
  <r>
    <s v="TX501344"/>
    <x v="8"/>
    <x v="2"/>
    <n v="26.4"/>
    <n v="79.199999999999989"/>
    <x v="50"/>
    <d v="2025-02-21T00:00:00"/>
    <s v="F"/>
    <x v="1"/>
    <x v="1"/>
    <x v="0"/>
    <x v="8"/>
    <x v="3"/>
    <x v="7"/>
    <x v="2"/>
  </r>
  <r>
    <s v="TX501345"/>
    <x v="0"/>
    <x v="1"/>
    <n v="17.2"/>
    <n v="34.4"/>
    <x v="50"/>
    <d v="2025-02-23T00:00:00"/>
    <s v="M"/>
    <x v="2"/>
    <x v="1"/>
    <x v="0"/>
    <x v="8"/>
    <x v="2"/>
    <x v="7"/>
    <x v="1"/>
  </r>
  <r>
    <s v="TX501346"/>
    <x v="5"/>
    <x v="8"/>
    <n v="58.1"/>
    <n v="464.8"/>
    <x v="50"/>
    <d v="2025-02-23T00:00:00"/>
    <s v="F"/>
    <x v="4"/>
    <x v="0"/>
    <x v="0"/>
    <x v="8"/>
    <x v="2"/>
    <x v="7"/>
    <x v="2"/>
  </r>
  <r>
    <s v="TX501347"/>
    <x v="15"/>
    <x v="12"/>
    <n v="31.5"/>
    <n v="126"/>
    <x v="50"/>
    <d v="2025-02-23T00:00:00"/>
    <s v="F"/>
    <x v="4"/>
    <x v="4"/>
    <x v="0"/>
    <x v="8"/>
    <x v="2"/>
    <x v="7"/>
    <x v="2"/>
  </r>
  <r>
    <s v="TX501348"/>
    <x v="0"/>
    <x v="0"/>
    <n v="27.1"/>
    <n v="27.1"/>
    <x v="50"/>
    <d v="2025-02-22T00:00:00"/>
    <s v="F"/>
    <x v="0"/>
    <x v="1"/>
    <x v="0"/>
    <x v="17"/>
    <x v="1"/>
    <x v="7"/>
    <x v="2"/>
  </r>
  <r>
    <s v="TX501349"/>
    <x v="18"/>
    <x v="12"/>
    <n v="28.5"/>
    <n v="114"/>
    <x v="50"/>
    <d v="2025-02-22T00:00:00"/>
    <s v="M"/>
    <x v="1"/>
    <x v="2"/>
    <x v="0"/>
    <x v="9"/>
    <x v="1"/>
    <x v="7"/>
    <x v="1"/>
  </r>
  <r>
    <s v="TX501350"/>
    <x v="10"/>
    <x v="0"/>
    <n v="40.5"/>
    <n v="40.5"/>
    <x v="51"/>
    <d v="2025-02-23T00:00:00"/>
    <s v="O"/>
    <x v="2"/>
    <x v="0"/>
    <x v="0"/>
    <x v="9"/>
    <x v="1"/>
    <x v="7"/>
    <x v="3"/>
  </r>
  <r>
    <s v="TX501351"/>
    <x v="2"/>
    <x v="2"/>
    <n v="77.900000000000006"/>
    <n v="233.70000000000002"/>
    <x v="51"/>
    <d v="2025-02-25T00:00:00"/>
    <s v="F"/>
    <x v="1"/>
    <x v="2"/>
    <x v="0"/>
    <x v="19"/>
    <x v="5"/>
    <x v="7"/>
    <x v="2"/>
  </r>
  <r>
    <s v="TX501352"/>
    <x v="18"/>
    <x v="12"/>
    <n v="37.1"/>
    <n v="148.4"/>
    <x v="51"/>
    <d v="2025-02-23T00:00:00"/>
    <s v="M"/>
    <x v="4"/>
    <x v="2"/>
    <x v="0"/>
    <x v="19"/>
    <x v="1"/>
    <x v="7"/>
    <x v="1"/>
  </r>
  <r>
    <s v="TX501353"/>
    <x v="16"/>
    <x v="2"/>
    <n v="51.6"/>
    <n v="154.80000000000001"/>
    <x v="51"/>
    <d v="2025-03-01T00:00:00"/>
    <s v="F"/>
    <x v="0"/>
    <x v="4"/>
    <x v="0"/>
    <x v="19"/>
    <x v="9"/>
    <x v="7"/>
    <x v="2"/>
  </r>
  <r>
    <s v="TX501354"/>
    <x v="7"/>
    <x v="2"/>
    <n v="98"/>
    <n v="294"/>
    <x v="51"/>
    <d v="2025-02-22T00:00:00"/>
    <s v="M"/>
    <x v="1"/>
    <x v="1"/>
    <x v="0"/>
    <x v="19"/>
    <x v="3"/>
    <x v="7"/>
    <x v="1"/>
  </r>
  <r>
    <s v="TX501355"/>
    <x v="6"/>
    <x v="3"/>
    <n v="41.4"/>
    <n v="289.8"/>
    <x v="51"/>
    <d v="2025-02-22T00:00:00"/>
    <s v="M"/>
    <x v="1"/>
    <x v="0"/>
    <x v="0"/>
    <x v="20"/>
    <x v="3"/>
    <x v="7"/>
    <x v="1"/>
  </r>
  <r>
    <s v="TX501356"/>
    <x v="11"/>
    <x v="8"/>
    <n v="34"/>
    <n v="272"/>
    <x v="51"/>
    <d v="2025-02-26T00:00:00"/>
    <s v="F"/>
    <x v="0"/>
    <x v="2"/>
    <x v="0"/>
    <x v="52"/>
    <x v="0"/>
    <x v="7"/>
    <x v="2"/>
  </r>
  <r>
    <s v="TX501357"/>
    <x v="6"/>
    <x v="0"/>
    <n v="66.3"/>
    <n v="66.3"/>
    <x v="51"/>
    <d v="2025-02-22T00:00:00"/>
    <s v="F"/>
    <x v="1"/>
    <x v="0"/>
    <x v="0"/>
    <x v="13"/>
    <x v="3"/>
    <x v="7"/>
    <x v="2"/>
  </r>
  <r>
    <s v="TX501358"/>
    <x v="7"/>
    <x v="0"/>
    <n v="33.5"/>
    <n v="33.5"/>
    <x v="51"/>
    <d v="2025-02-25T00:00:00"/>
    <s v="M"/>
    <x v="2"/>
    <x v="0"/>
    <x v="0"/>
    <x v="13"/>
    <x v="5"/>
    <x v="7"/>
    <x v="1"/>
  </r>
  <r>
    <s v="TX501359"/>
    <x v="12"/>
    <x v="1"/>
    <n v="70.8"/>
    <n v="141.6"/>
    <x v="51"/>
    <d v="2025-02-22T00:00:00"/>
    <s v=""/>
    <x v="0"/>
    <x v="0"/>
    <x v="0"/>
    <x v="28"/>
    <x v="3"/>
    <x v="7"/>
    <x v="0"/>
  </r>
  <r>
    <s v="TX501360"/>
    <x v="6"/>
    <x v="1"/>
    <n v="127.6"/>
    <n v="255.2"/>
    <x v="51"/>
    <d v="2025-02-22T00:00:00"/>
    <s v="M"/>
    <x v="0"/>
    <x v="0"/>
    <x v="0"/>
    <x v="21"/>
    <x v="3"/>
    <x v="7"/>
    <x v="1"/>
  </r>
  <r>
    <s v="TX501361"/>
    <x v="6"/>
    <x v="2"/>
    <n v="95.9"/>
    <n v="287.70000000000005"/>
    <x v="51"/>
    <d v="2025-02-22T00:00:00"/>
    <s v="F"/>
    <x v="1"/>
    <x v="1"/>
    <x v="0"/>
    <x v="21"/>
    <x v="3"/>
    <x v="7"/>
    <x v="2"/>
  </r>
  <r>
    <s v="TX501362"/>
    <x v="2"/>
    <x v="1"/>
    <n v="78.099999999999994"/>
    <n v="156.19999999999999"/>
    <x v="51"/>
    <d v="2025-02-22T00:00:00"/>
    <s v="M"/>
    <x v="0"/>
    <x v="0"/>
    <x v="0"/>
    <x v="1"/>
    <x v="3"/>
    <x v="7"/>
    <x v="1"/>
  </r>
  <r>
    <s v="TX501363"/>
    <x v="13"/>
    <x v="1"/>
    <n v="43.2"/>
    <n v="86.4"/>
    <x v="51"/>
    <d v="2025-02-22T00:00:00"/>
    <s v=""/>
    <x v="1"/>
    <x v="1"/>
    <x v="0"/>
    <x v="1"/>
    <x v="3"/>
    <x v="7"/>
    <x v="0"/>
  </r>
  <r>
    <s v="TX501364"/>
    <x v="8"/>
    <x v="12"/>
    <n v="28.4"/>
    <n v="113.6"/>
    <x v="51"/>
    <d v="2025-02-27T00:00:00"/>
    <s v="M"/>
    <x v="2"/>
    <x v="0"/>
    <x v="0"/>
    <x v="3"/>
    <x v="4"/>
    <x v="7"/>
    <x v="1"/>
  </r>
  <r>
    <s v="TX501365"/>
    <x v="2"/>
    <x v="1"/>
    <n v="81.7"/>
    <n v="163.4"/>
    <x v="51"/>
    <d v="2025-02-21T00:00:00"/>
    <s v="M"/>
    <x v="0"/>
    <x v="0"/>
    <x v="0"/>
    <x v="3"/>
    <x v="7"/>
    <x v="7"/>
    <x v="1"/>
  </r>
  <r>
    <s v="TX501366"/>
    <x v="18"/>
    <x v="1"/>
    <n v="56.7"/>
    <n v="113.4"/>
    <x v="51"/>
    <d v="2025-02-23T00:00:00"/>
    <s v=""/>
    <x v="0"/>
    <x v="2"/>
    <x v="0"/>
    <x v="3"/>
    <x v="1"/>
    <x v="7"/>
    <x v="0"/>
  </r>
  <r>
    <s v="TX501367"/>
    <x v="3"/>
    <x v="12"/>
    <n v="66.5"/>
    <n v="266"/>
    <x v="51"/>
    <d v="2025-02-21T00:00:00"/>
    <s v="F"/>
    <x v="0"/>
    <x v="2"/>
    <x v="0"/>
    <x v="3"/>
    <x v="7"/>
    <x v="7"/>
    <x v="2"/>
  </r>
  <r>
    <s v="TX501368"/>
    <x v="1"/>
    <x v="1"/>
    <n v="105.3"/>
    <n v="210.6"/>
    <x v="51"/>
    <d v="2025-02-25T00:00:00"/>
    <s v="M"/>
    <x v="0"/>
    <x v="1"/>
    <x v="0"/>
    <x v="3"/>
    <x v="5"/>
    <x v="7"/>
    <x v="1"/>
  </r>
  <r>
    <s v="TX501369"/>
    <x v="10"/>
    <x v="9"/>
    <n v="33.799999999999997"/>
    <n v="169"/>
    <x v="51"/>
    <d v="2025-02-26T00:00:00"/>
    <s v="M"/>
    <x v="0"/>
    <x v="0"/>
    <x v="0"/>
    <x v="3"/>
    <x v="0"/>
    <x v="7"/>
    <x v="1"/>
  </r>
  <r>
    <s v="TX501370"/>
    <x v="6"/>
    <x v="2"/>
    <n v="63.4"/>
    <n v="190.2"/>
    <x v="51"/>
    <d v="2025-02-26T00:00:00"/>
    <s v="M"/>
    <x v="3"/>
    <x v="1"/>
    <x v="0"/>
    <x v="24"/>
    <x v="0"/>
    <x v="7"/>
    <x v="1"/>
  </r>
  <r>
    <s v="TX501371"/>
    <x v="6"/>
    <x v="2"/>
    <n v="49"/>
    <n v="147"/>
    <x v="51"/>
    <d v="2025-02-25T00:00:00"/>
    <s v="M"/>
    <x v="3"/>
    <x v="0"/>
    <x v="0"/>
    <x v="49"/>
    <x v="5"/>
    <x v="7"/>
    <x v="1"/>
  </r>
  <r>
    <s v="TX501372"/>
    <x v="1"/>
    <x v="1"/>
    <n v="40"/>
    <n v="80"/>
    <x v="51"/>
    <d v="2025-02-22T00:00:00"/>
    <s v="F"/>
    <x v="4"/>
    <x v="1"/>
    <x v="0"/>
    <x v="23"/>
    <x v="3"/>
    <x v="7"/>
    <x v="2"/>
  </r>
  <r>
    <s v="TX501373"/>
    <x v="6"/>
    <x v="12"/>
    <n v="86.3"/>
    <n v="345.2"/>
    <x v="51"/>
    <d v="2025-02-22T00:00:00"/>
    <s v="O"/>
    <x v="0"/>
    <x v="0"/>
    <x v="0"/>
    <x v="6"/>
    <x v="3"/>
    <x v="7"/>
    <x v="3"/>
  </r>
  <r>
    <s v="TX501374"/>
    <x v="6"/>
    <x v="0"/>
    <n v="51.6"/>
    <n v="51.6"/>
    <x v="51"/>
    <d v="2025-02-23T00:00:00"/>
    <s v="F"/>
    <x v="2"/>
    <x v="2"/>
    <x v="0"/>
    <x v="6"/>
    <x v="1"/>
    <x v="7"/>
    <x v="2"/>
  </r>
  <r>
    <s v="TX501375"/>
    <x v="10"/>
    <x v="2"/>
    <n v="26.7"/>
    <n v="80.099999999999994"/>
    <x v="51"/>
    <d v="2025-02-26T00:00:00"/>
    <s v="F"/>
    <x v="2"/>
    <x v="1"/>
    <x v="0"/>
    <x v="6"/>
    <x v="0"/>
    <x v="7"/>
    <x v="2"/>
  </r>
  <r>
    <s v="TX501376"/>
    <x v="18"/>
    <x v="1"/>
    <n v="68.099999999999994"/>
    <n v="136.19999999999999"/>
    <x v="51"/>
    <d v="2025-02-22T00:00:00"/>
    <s v="M"/>
    <x v="0"/>
    <x v="1"/>
    <x v="0"/>
    <x v="6"/>
    <x v="3"/>
    <x v="7"/>
    <x v="1"/>
  </r>
  <r>
    <s v="TX501377"/>
    <x v="1"/>
    <x v="0"/>
    <n v="81.7"/>
    <n v="81.7"/>
    <x v="51"/>
    <d v="2025-02-22T00:00:00"/>
    <s v="M"/>
    <x v="0"/>
    <x v="0"/>
    <x v="0"/>
    <x v="7"/>
    <x v="3"/>
    <x v="7"/>
    <x v="1"/>
  </r>
  <r>
    <s v="TX501378"/>
    <x v="18"/>
    <x v="7"/>
    <n v="25.1"/>
    <n v="251"/>
    <x v="51"/>
    <d v="2025-02-24T00:00:00"/>
    <s v="M"/>
    <x v="3"/>
    <x v="1"/>
    <x v="0"/>
    <x v="8"/>
    <x v="2"/>
    <x v="7"/>
    <x v="1"/>
  </r>
  <r>
    <s v="TX501379"/>
    <x v="8"/>
    <x v="0"/>
    <n v="20.2"/>
    <n v="20.2"/>
    <x v="51"/>
    <d v="2025-02-25T00:00:00"/>
    <s v="F"/>
    <x v="0"/>
    <x v="0"/>
    <x v="0"/>
    <x v="8"/>
    <x v="5"/>
    <x v="7"/>
    <x v="2"/>
  </r>
  <r>
    <s v="TX501380"/>
    <x v="8"/>
    <x v="2"/>
    <n v="15.4"/>
    <n v="46.2"/>
    <x v="51"/>
    <d v="2025-02-22T00:00:00"/>
    <s v="M"/>
    <x v="1"/>
    <x v="2"/>
    <x v="0"/>
    <x v="8"/>
    <x v="3"/>
    <x v="7"/>
    <x v="1"/>
  </r>
  <r>
    <s v="TX501381"/>
    <x v="10"/>
    <x v="0"/>
    <n v="59.2"/>
    <n v="59.2"/>
    <x v="51"/>
    <d v="2025-02-22T00:00:00"/>
    <s v="M"/>
    <x v="2"/>
    <x v="2"/>
    <x v="0"/>
    <x v="17"/>
    <x v="3"/>
    <x v="7"/>
    <x v="1"/>
  </r>
  <r>
    <s v="TX501382"/>
    <x v="0"/>
    <x v="0"/>
    <n v="46.7"/>
    <n v="46.7"/>
    <x v="51"/>
    <d v="2025-02-26T00:00:00"/>
    <s v="M"/>
    <x v="0"/>
    <x v="0"/>
    <x v="0"/>
    <x v="17"/>
    <x v="0"/>
    <x v="7"/>
    <x v="1"/>
  </r>
  <r>
    <s v="TX501383"/>
    <x v="6"/>
    <x v="20"/>
    <n v="41.6"/>
    <n v="624"/>
    <x v="51"/>
    <d v="2025-02-23T00:00:00"/>
    <s v="M"/>
    <x v="1"/>
    <x v="0"/>
    <x v="0"/>
    <x v="26"/>
    <x v="1"/>
    <x v="7"/>
    <x v="1"/>
  </r>
  <r>
    <s v="TX501384"/>
    <x v="8"/>
    <x v="1"/>
    <n v="19.2"/>
    <n v="38.4"/>
    <x v="51"/>
    <d v="2025-02-24T00:00:00"/>
    <s v="M"/>
    <x v="4"/>
    <x v="2"/>
    <x v="0"/>
    <x v="9"/>
    <x v="2"/>
    <x v="7"/>
    <x v="1"/>
  </r>
  <r>
    <s v="TX501385"/>
    <x v="17"/>
    <x v="3"/>
    <n v="41.8"/>
    <n v="292.59999999999997"/>
    <x v="51"/>
    <d v="2025-02-23T00:00:00"/>
    <s v="F"/>
    <x v="2"/>
    <x v="0"/>
    <x v="0"/>
    <x v="11"/>
    <x v="1"/>
    <x v="7"/>
    <x v="2"/>
  </r>
  <r>
    <s v="TX501386"/>
    <x v="8"/>
    <x v="13"/>
    <n v="37.4"/>
    <n v="224.39999999999998"/>
    <x v="51"/>
    <d v="2025-02-23T00:00:00"/>
    <s v="M"/>
    <x v="0"/>
    <x v="2"/>
    <x v="0"/>
    <x v="11"/>
    <x v="1"/>
    <x v="7"/>
    <x v="1"/>
  </r>
  <r>
    <s v="TX501387"/>
    <x v="10"/>
    <x v="2"/>
    <n v="60.2"/>
    <n v="180.60000000000002"/>
    <x v="51"/>
    <d v="2025-02-24T00:00:00"/>
    <s v="M"/>
    <x v="4"/>
    <x v="1"/>
    <x v="0"/>
    <x v="38"/>
    <x v="2"/>
    <x v="7"/>
    <x v="1"/>
  </r>
  <r>
    <s v="TX501388"/>
    <x v="9"/>
    <x v="1"/>
    <n v="91.5"/>
    <n v="183"/>
    <x v="52"/>
    <d v="2025-02-23T00:00:00"/>
    <s v="M"/>
    <x v="0"/>
    <x v="0"/>
    <x v="0"/>
    <x v="13"/>
    <x v="3"/>
    <x v="7"/>
    <x v="1"/>
  </r>
  <r>
    <s v="TX501389"/>
    <x v="3"/>
    <x v="9"/>
    <n v="55.7"/>
    <n v="278.5"/>
    <x v="52"/>
    <d v="2025-02-24T00:00:00"/>
    <s v=""/>
    <x v="1"/>
    <x v="2"/>
    <x v="0"/>
    <x v="21"/>
    <x v="1"/>
    <x v="7"/>
    <x v="0"/>
  </r>
  <r>
    <s v="TX501390"/>
    <x v="7"/>
    <x v="1"/>
    <n v="76.7"/>
    <n v="153.4"/>
    <x v="52"/>
    <d v="2025-02-24T00:00:00"/>
    <s v="M"/>
    <x v="0"/>
    <x v="1"/>
    <x v="0"/>
    <x v="21"/>
    <x v="1"/>
    <x v="7"/>
    <x v="1"/>
  </r>
  <r>
    <s v="TX501391"/>
    <x v="8"/>
    <x v="38"/>
    <n v="28.2"/>
    <n v="592.19999999999993"/>
    <x v="52"/>
    <d v="2025-02-27T00:00:00"/>
    <s v="M"/>
    <x v="2"/>
    <x v="0"/>
    <x v="0"/>
    <x v="1"/>
    <x v="0"/>
    <x v="7"/>
    <x v="1"/>
  </r>
  <r>
    <s v="TX501392"/>
    <x v="7"/>
    <x v="9"/>
    <n v="93.2"/>
    <n v="466"/>
    <x v="52"/>
    <d v="2025-02-24T00:00:00"/>
    <s v="F"/>
    <x v="4"/>
    <x v="2"/>
    <x v="0"/>
    <x v="1"/>
    <x v="1"/>
    <x v="7"/>
    <x v="2"/>
  </r>
  <r>
    <s v="TX501393"/>
    <x v="17"/>
    <x v="0"/>
    <n v="33.299999999999997"/>
    <n v="33.299999999999997"/>
    <x v="52"/>
    <d v="2025-02-23T00:00:00"/>
    <s v="M"/>
    <x v="4"/>
    <x v="0"/>
    <x v="0"/>
    <x v="2"/>
    <x v="3"/>
    <x v="7"/>
    <x v="1"/>
  </r>
  <r>
    <s v="TX501394"/>
    <x v="10"/>
    <x v="1"/>
    <n v="39.1"/>
    <n v="78.2"/>
    <x v="52"/>
    <d v="2025-02-25T00:00:00"/>
    <s v="M"/>
    <x v="0"/>
    <x v="0"/>
    <x v="0"/>
    <x v="44"/>
    <x v="2"/>
    <x v="7"/>
    <x v="1"/>
  </r>
  <r>
    <s v="TX501395"/>
    <x v="7"/>
    <x v="4"/>
    <n v="45.3"/>
    <n v="543.59999999999991"/>
    <x v="52"/>
    <d v="2025-02-23T00:00:00"/>
    <s v="M"/>
    <x v="2"/>
    <x v="0"/>
    <x v="0"/>
    <x v="33"/>
    <x v="3"/>
    <x v="7"/>
    <x v="1"/>
  </r>
  <r>
    <s v="TX501396"/>
    <x v="9"/>
    <x v="3"/>
    <n v="33.9"/>
    <n v="237.29999999999998"/>
    <x v="52"/>
    <d v="2025-02-23T00:00:00"/>
    <s v="M"/>
    <x v="4"/>
    <x v="0"/>
    <x v="0"/>
    <x v="33"/>
    <x v="3"/>
    <x v="7"/>
    <x v="1"/>
  </r>
  <r>
    <s v="TX501397"/>
    <x v="8"/>
    <x v="2"/>
    <n v="19"/>
    <n v="57"/>
    <x v="52"/>
    <d v="2025-02-23T00:00:00"/>
    <s v="M"/>
    <x v="0"/>
    <x v="2"/>
    <x v="0"/>
    <x v="15"/>
    <x v="3"/>
    <x v="7"/>
    <x v="1"/>
  </r>
  <r>
    <s v="TX501398"/>
    <x v="4"/>
    <x v="0"/>
    <n v="41.9"/>
    <n v="41.9"/>
    <x v="52"/>
    <d v="2025-02-25T00:00:00"/>
    <s v="F"/>
    <x v="2"/>
    <x v="0"/>
    <x v="0"/>
    <x v="22"/>
    <x v="2"/>
    <x v="7"/>
    <x v="2"/>
  </r>
  <r>
    <s v="TX501399"/>
    <x v="1"/>
    <x v="12"/>
    <n v="37.5"/>
    <n v="150"/>
    <x v="52"/>
    <d v="2025-02-22T00:00:00"/>
    <s v="F"/>
    <x v="0"/>
    <x v="0"/>
    <x v="0"/>
    <x v="3"/>
    <x v="7"/>
    <x v="7"/>
    <x v="2"/>
  </r>
  <r>
    <s v="TX501400"/>
    <x v="0"/>
    <x v="1"/>
    <n v="40.799999999999997"/>
    <n v="81.599999999999994"/>
    <x v="52"/>
    <d v="2025-02-25T00:00:00"/>
    <s v="M"/>
    <x v="0"/>
    <x v="0"/>
    <x v="0"/>
    <x v="3"/>
    <x v="2"/>
    <x v="7"/>
    <x v="1"/>
  </r>
  <r>
    <s v="TX501401"/>
    <x v="0"/>
    <x v="12"/>
    <n v="23.1"/>
    <n v="92.4"/>
    <x v="52"/>
    <d v="2025-02-23T00:00:00"/>
    <s v="F"/>
    <x v="4"/>
    <x v="0"/>
    <x v="0"/>
    <x v="3"/>
    <x v="3"/>
    <x v="7"/>
    <x v="2"/>
  </r>
  <r>
    <s v="TX501402"/>
    <x v="8"/>
    <x v="9"/>
    <n v="39.299999999999997"/>
    <n v="196.5"/>
    <x v="52"/>
    <d v="2025-02-23T00:00:00"/>
    <s v="F"/>
    <x v="0"/>
    <x v="0"/>
    <x v="0"/>
    <x v="3"/>
    <x v="3"/>
    <x v="7"/>
    <x v="2"/>
  </r>
  <r>
    <s v="TX501403"/>
    <x v="2"/>
    <x v="12"/>
    <n v="85.2"/>
    <n v="340.8"/>
    <x v="52"/>
    <d v="2025-02-27T00:00:00"/>
    <s v="M"/>
    <x v="2"/>
    <x v="0"/>
    <x v="0"/>
    <x v="3"/>
    <x v="0"/>
    <x v="7"/>
    <x v="1"/>
  </r>
  <r>
    <s v="TX501404"/>
    <x v="8"/>
    <x v="13"/>
    <n v="16"/>
    <n v="96"/>
    <x v="52"/>
    <d v="2025-02-25T00:00:00"/>
    <s v="M"/>
    <x v="1"/>
    <x v="0"/>
    <x v="0"/>
    <x v="3"/>
    <x v="2"/>
    <x v="7"/>
    <x v="1"/>
  </r>
  <r>
    <s v="TX501405"/>
    <x v="1"/>
    <x v="1"/>
    <n v="33.799999999999997"/>
    <n v="67.599999999999994"/>
    <x v="52"/>
    <d v="2025-02-26T00:00:00"/>
    <s v="F"/>
    <x v="1"/>
    <x v="0"/>
    <x v="0"/>
    <x v="3"/>
    <x v="5"/>
    <x v="7"/>
    <x v="2"/>
  </r>
  <r>
    <s v="TX501406"/>
    <x v="3"/>
    <x v="0"/>
    <n v="70"/>
    <n v="70"/>
    <x v="52"/>
    <d v="2025-02-23T00:00:00"/>
    <s v="F"/>
    <x v="0"/>
    <x v="0"/>
    <x v="0"/>
    <x v="3"/>
    <x v="3"/>
    <x v="7"/>
    <x v="2"/>
  </r>
  <r>
    <s v="TX501407"/>
    <x v="9"/>
    <x v="0"/>
    <n v="88"/>
    <n v="88"/>
    <x v="52"/>
    <d v="2025-02-27T00:00:00"/>
    <s v="F"/>
    <x v="3"/>
    <x v="0"/>
    <x v="0"/>
    <x v="3"/>
    <x v="0"/>
    <x v="7"/>
    <x v="2"/>
  </r>
  <r>
    <s v="TX501408"/>
    <x v="2"/>
    <x v="2"/>
    <n v="74.099999999999994"/>
    <n v="222.29999999999998"/>
    <x v="52"/>
    <d v="2025-02-22T00:00:00"/>
    <s v="M"/>
    <x v="4"/>
    <x v="1"/>
    <x v="0"/>
    <x v="3"/>
    <x v="7"/>
    <x v="7"/>
    <x v="1"/>
  </r>
  <r>
    <s v="TX501409"/>
    <x v="2"/>
    <x v="0"/>
    <n v="161.9"/>
    <n v="161.9"/>
    <x v="52"/>
    <d v="2025-02-24T00:00:00"/>
    <s v="M"/>
    <x v="2"/>
    <x v="0"/>
    <x v="0"/>
    <x v="3"/>
    <x v="1"/>
    <x v="7"/>
    <x v="1"/>
  </r>
  <r>
    <s v="TX501410"/>
    <x v="4"/>
    <x v="1"/>
    <n v="44"/>
    <n v="88"/>
    <x v="52"/>
    <d v="2025-02-23T00:00:00"/>
    <s v="O"/>
    <x v="4"/>
    <x v="1"/>
    <x v="0"/>
    <x v="3"/>
    <x v="3"/>
    <x v="7"/>
    <x v="3"/>
  </r>
  <r>
    <s v="TX501411"/>
    <x v="11"/>
    <x v="0"/>
    <n v="32.1"/>
    <n v="32.1"/>
    <x v="52"/>
    <d v="2025-02-22T00:00:00"/>
    <s v="F"/>
    <x v="3"/>
    <x v="3"/>
    <x v="0"/>
    <x v="3"/>
    <x v="7"/>
    <x v="7"/>
    <x v="2"/>
  </r>
  <r>
    <s v="TX501412"/>
    <x v="2"/>
    <x v="12"/>
    <n v="104.8"/>
    <n v="419.2"/>
    <x v="53"/>
    <d v="2025-02-25T00:00:00"/>
    <s v="O"/>
    <x v="0"/>
    <x v="0"/>
    <x v="0"/>
    <x v="3"/>
    <x v="1"/>
    <x v="8"/>
    <x v="3"/>
  </r>
  <r>
    <s v="TX501413"/>
    <x v="9"/>
    <x v="13"/>
    <n v="67.400000000000006"/>
    <n v="404.40000000000003"/>
    <x v="53"/>
    <d v="2025-02-24T00:00:00"/>
    <s v="F"/>
    <x v="3"/>
    <x v="0"/>
    <x v="0"/>
    <x v="3"/>
    <x v="3"/>
    <x v="8"/>
    <x v="2"/>
  </r>
  <r>
    <s v="TX501414"/>
    <x v="6"/>
    <x v="1"/>
    <n v="115.2"/>
    <n v="230.4"/>
    <x v="53"/>
    <d v="2025-02-24T00:00:00"/>
    <s v="F"/>
    <x v="1"/>
    <x v="0"/>
    <x v="0"/>
    <x v="4"/>
    <x v="3"/>
    <x v="8"/>
    <x v="2"/>
  </r>
  <r>
    <s v="TX501415"/>
    <x v="8"/>
    <x v="19"/>
    <n v="15.5"/>
    <n v="449.5"/>
    <x v="53"/>
    <d v="2025-02-25T00:00:00"/>
    <s v="F"/>
    <x v="0"/>
    <x v="1"/>
    <x v="0"/>
    <x v="23"/>
    <x v="1"/>
    <x v="8"/>
    <x v="2"/>
  </r>
  <r>
    <s v="TX501416"/>
    <x v="6"/>
    <x v="5"/>
    <n v="66.400000000000006"/>
    <n v="730.40000000000009"/>
    <x v="53"/>
    <d v="2025-02-25T00:00:00"/>
    <s v="F"/>
    <x v="0"/>
    <x v="0"/>
    <x v="0"/>
    <x v="6"/>
    <x v="1"/>
    <x v="8"/>
    <x v="2"/>
  </r>
  <r>
    <s v="TX501417"/>
    <x v="9"/>
    <x v="4"/>
    <n v="68.099999999999994"/>
    <n v="817.19999999999993"/>
    <x v="53"/>
    <d v="2025-02-24T00:00:00"/>
    <s v="F"/>
    <x v="2"/>
    <x v="0"/>
    <x v="0"/>
    <x v="8"/>
    <x v="3"/>
    <x v="8"/>
    <x v="2"/>
  </r>
  <r>
    <s v="TX501418"/>
    <x v="8"/>
    <x v="9"/>
    <n v="32.5"/>
    <n v="162.5"/>
    <x v="53"/>
    <d v="2025-02-27T00:00:00"/>
    <s v="M"/>
    <x v="2"/>
    <x v="1"/>
    <x v="0"/>
    <x v="8"/>
    <x v="5"/>
    <x v="8"/>
    <x v="1"/>
  </r>
  <r>
    <s v="TX501419"/>
    <x v="15"/>
    <x v="2"/>
    <n v="61.2"/>
    <n v="183.60000000000002"/>
    <x v="53"/>
    <d v="2025-02-25T00:00:00"/>
    <s v="F"/>
    <x v="1"/>
    <x v="1"/>
    <x v="0"/>
    <x v="8"/>
    <x v="1"/>
    <x v="8"/>
    <x v="2"/>
  </r>
  <r>
    <s v="TX501420"/>
    <x v="9"/>
    <x v="1"/>
    <n v="54.2"/>
    <n v="108.4"/>
    <x v="53"/>
    <d v="2025-02-24T00:00:00"/>
    <s v="F"/>
    <x v="1"/>
    <x v="0"/>
    <x v="0"/>
    <x v="8"/>
    <x v="3"/>
    <x v="8"/>
    <x v="2"/>
  </r>
  <r>
    <s v="TX501421"/>
    <x v="11"/>
    <x v="8"/>
    <n v="28.7"/>
    <n v="229.6"/>
    <x v="53"/>
    <d v="2025-02-25T00:00:00"/>
    <s v="M"/>
    <x v="1"/>
    <x v="0"/>
    <x v="0"/>
    <x v="9"/>
    <x v="1"/>
    <x v="8"/>
    <x v="1"/>
  </r>
  <r>
    <s v="TX501422"/>
    <x v="12"/>
    <x v="13"/>
    <n v="38.200000000000003"/>
    <n v="229.20000000000002"/>
    <x v="53"/>
    <d v="2025-02-27T00:00:00"/>
    <s v="F"/>
    <x v="0"/>
    <x v="1"/>
    <x v="0"/>
    <x v="9"/>
    <x v="5"/>
    <x v="8"/>
    <x v="2"/>
  </r>
  <r>
    <s v="TX501423"/>
    <x v="8"/>
    <x v="4"/>
    <n v="17.600000000000001"/>
    <n v="211.20000000000002"/>
    <x v="53"/>
    <d v="2025-02-24T00:00:00"/>
    <s v="F"/>
    <x v="2"/>
    <x v="1"/>
    <x v="0"/>
    <x v="9"/>
    <x v="3"/>
    <x v="8"/>
    <x v="2"/>
  </r>
  <r>
    <s v="TX501424"/>
    <x v="10"/>
    <x v="2"/>
    <n v="74.599999999999994"/>
    <n v="223.79999999999998"/>
    <x v="53"/>
    <d v="2025-02-23T00:00:00"/>
    <s v="F"/>
    <x v="2"/>
    <x v="0"/>
    <x v="0"/>
    <x v="11"/>
    <x v="7"/>
    <x v="8"/>
    <x v="2"/>
  </r>
  <r>
    <s v="TX501425"/>
    <x v="16"/>
    <x v="20"/>
    <n v="72.599999999999994"/>
    <n v="1089"/>
    <x v="53"/>
    <d v="2025-02-23T00:00:00"/>
    <s v=""/>
    <x v="1"/>
    <x v="1"/>
    <x v="0"/>
    <x v="11"/>
    <x v="7"/>
    <x v="8"/>
    <x v="0"/>
  </r>
  <r>
    <s v="TX501426"/>
    <x v="7"/>
    <x v="0"/>
    <n v="62.3"/>
    <n v="62.3"/>
    <x v="53"/>
    <d v="2025-02-24T00:00:00"/>
    <s v="F"/>
    <x v="1"/>
    <x v="0"/>
    <x v="0"/>
    <x v="11"/>
    <x v="3"/>
    <x v="8"/>
    <x v="2"/>
  </r>
  <r>
    <s v="TX501427"/>
    <x v="3"/>
    <x v="2"/>
    <n v="33.799999999999997"/>
    <n v="101.39999999999999"/>
    <x v="53"/>
    <d v="2025-02-25T00:00:00"/>
    <s v="M"/>
    <x v="0"/>
    <x v="2"/>
    <x v="0"/>
    <x v="20"/>
    <x v="1"/>
    <x v="8"/>
    <x v="1"/>
  </r>
  <r>
    <s v="TX501428"/>
    <x v="9"/>
    <x v="0"/>
    <n v="85.7"/>
    <n v="85.7"/>
    <x v="53"/>
    <d v="2025-02-26T00:00:00"/>
    <s v="M"/>
    <x v="3"/>
    <x v="1"/>
    <x v="0"/>
    <x v="21"/>
    <x v="2"/>
    <x v="8"/>
    <x v="1"/>
  </r>
  <r>
    <s v="TX501429"/>
    <x v="6"/>
    <x v="1"/>
    <n v="92.1"/>
    <n v="184.2"/>
    <x v="53"/>
    <d v="2025-02-25T00:00:00"/>
    <s v="M"/>
    <x v="1"/>
    <x v="0"/>
    <x v="0"/>
    <x v="21"/>
    <x v="1"/>
    <x v="8"/>
    <x v="1"/>
  </r>
  <r>
    <s v="TX501430"/>
    <x v="16"/>
    <x v="2"/>
    <n v="65.099999999999994"/>
    <n v="195.29999999999998"/>
    <x v="53"/>
    <d v="2025-02-26T00:00:00"/>
    <s v="M"/>
    <x v="0"/>
    <x v="0"/>
    <x v="0"/>
    <x v="1"/>
    <x v="2"/>
    <x v="8"/>
    <x v="1"/>
  </r>
  <r>
    <s v="TX501431"/>
    <x v="9"/>
    <x v="3"/>
    <n v="20.3"/>
    <n v="142.1"/>
    <x v="53"/>
    <d v="2025-02-24T00:00:00"/>
    <s v="F"/>
    <x v="2"/>
    <x v="2"/>
    <x v="0"/>
    <x v="2"/>
    <x v="3"/>
    <x v="8"/>
    <x v="2"/>
  </r>
  <r>
    <s v="TX501432"/>
    <x v="19"/>
    <x v="1"/>
    <n v="29.8"/>
    <n v="59.6"/>
    <x v="53"/>
    <d v="2025-02-25T00:00:00"/>
    <s v="F"/>
    <x v="1"/>
    <x v="2"/>
    <x v="0"/>
    <x v="34"/>
    <x v="1"/>
    <x v="8"/>
    <x v="2"/>
  </r>
  <r>
    <s v="TX501433"/>
    <x v="0"/>
    <x v="1"/>
    <n v="24.2"/>
    <n v="48.4"/>
    <x v="53"/>
    <d v="2025-02-25T00:00:00"/>
    <s v="F"/>
    <x v="3"/>
    <x v="2"/>
    <x v="0"/>
    <x v="3"/>
    <x v="1"/>
    <x v="8"/>
    <x v="2"/>
  </r>
  <r>
    <s v="TX501434"/>
    <x v="3"/>
    <x v="0"/>
    <n v="57.3"/>
    <n v="57.3"/>
    <x v="53"/>
    <d v="2025-02-25T00:00:00"/>
    <s v="M"/>
    <x v="0"/>
    <x v="0"/>
    <x v="0"/>
    <x v="3"/>
    <x v="1"/>
    <x v="8"/>
    <x v="1"/>
  </r>
  <r>
    <s v="TX501435"/>
    <x v="2"/>
    <x v="0"/>
    <n v="108.9"/>
    <n v="108.9"/>
    <x v="53"/>
    <d v="2025-02-25T00:00:00"/>
    <s v="F"/>
    <x v="1"/>
    <x v="0"/>
    <x v="0"/>
    <x v="3"/>
    <x v="1"/>
    <x v="8"/>
    <x v="2"/>
  </r>
  <r>
    <s v="TX501436"/>
    <x v="7"/>
    <x v="9"/>
    <n v="50.7"/>
    <n v="253.5"/>
    <x v="53"/>
    <d v="2025-02-24T00:00:00"/>
    <s v="F"/>
    <x v="0"/>
    <x v="0"/>
    <x v="0"/>
    <x v="3"/>
    <x v="3"/>
    <x v="8"/>
    <x v="2"/>
  </r>
  <r>
    <s v="TX501437"/>
    <x v="7"/>
    <x v="11"/>
    <n v="66.099999999999994"/>
    <n v="594.9"/>
    <x v="53"/>
    <d v="2025-03-09T00:00:00"/>
    <s v="F"/>
    <x v="1"/>
    <x v="0"/>
    <x v="0"/>
    <x v="3"/>
    <x v="12"/>
    <x v="8"/>
    <x v="2"/>
  </r>
  <r>
    <s v="TX501438"/>
    <x v="12"/>
    <x v="9"/>
    <n v="36.700000000000003"/>
    <n v="183.5"/>
    <x v="53"/>
    <d v="2025-02-27T00:00:00"/>
    <s v="F"/>
    <x v="4"/>
    <x v="0"/>
    <x v="0"/>
    <x v="3"/>
    <x v="5"/>
    <x v="8"/>
    <x v="2"/>
  </r>
  <r>
    <s v="TX501439"/>
    <x v="8"/>
    <x v="14"/>
    <n v="19.3"/>
    <n v="328.1"/>
    <x v="53"/>
    <d v="2025-02-25T00:00:00"/>
    <s v="M"/>
    <x v="0"/>
    <x v="0"/>
    <x v="0"/>
    <x v="43"/>
    <x v="1"/>
    <x v="8"/>
    <x v="1"/>
  </r>
  <r>
    <s v="TX501440"/>
    <x v="8"/>
    <x v="12"/>
    <n v="20.7"/>
    <n v="82.8"/>
    <x v="53"/>
    <d v="2025-02-24T00:00:00"/>
    <s v="M"/>
    <x v="1"/>
    <x v="2"/>
    <x v="0"/>
    <x v="6"/>
    <x v="3"/>
    <x v="8"/>
    <x v="1"/>
  </r>
  <r>
    <s v="TX501441"/>
    <x v="5"/>
    <x v="2"/>
    <n v="54.7"/>
    <n v="164.10000000000002"/>
    <x v="53"/>
    <d v="2025-02-23T00:00:00"/>
    <s v="O"/>
    <x v="1"/>
    <x v="4"/>
    <x v="0"/>
    <x v="6"/>
    <x v="7"/>
    <x v="8"/>
    <x v="3"/>
  </r>
  <r>
    <s v="TX501442"/>
    <x v="4"/>
    <x v="1"/>
    <n v="19.8"/>
    <n v="39.6"/>
    <x v="53"/>
    <d v="2025-02-27T00:00:00"/>
    <s v="F"/>
    <x v="4"/>
    <x v="1"/>
    <x v="0"/>
    <x v="8"/>
    <x v="5"/>
    <x v="8"/>
    <x v="2"/>
  </r>
  <r>
    <s v="TX501443"/>
    <x v="7"/>
    <x v="0"/>
    <n v="41.1"/>
    <n v="41.1"/>
    <x v="53"/>
    <d v="2025-02-25T00:00:00"/>
    <s v="F"/>
    <x v="0"/>
    <x v="2"/>
    <x v="0"/>
    <x v="8"/>
    <x v="1"/>
    <x v="8"/>
    <x v="2"/>
  </r>
  <r>
    <s v="TX501444"/>
    <x v="11"/>
    <x v="8"/>
    <n v="43.5"/>
    <n v="348"/>
    <x v="53"/>
    <d v="2025-02-27T00:00:00"/>
    <s v="F"/>
    <x v="3"/>
    <x v="0"/>
    <x v="0"/>
    <x v="8"/>
    <x v="5"/>
    <x v="8"/>
    <x v="2"/>
  </r>
  <r>
    <s v="TX501445"/>
    <x v="8"/>
    <x v="21"/>
    <n v="19"/>
    <n v="266"/>
    <x v="53"/>
    <d v="2025-02-24T00:00:00"/>
    <s v="M"/>
    <x v="0"/>
    <x v="0"/>
    <x v="0"/>
    <x v="26"/>
    <x v="3"/>
    <x v="8"/>
    <x v="1"/>
  </r>
  <r>
    <s v="TX501446"/>
    <x v="2"/>
    <x v="12"/>
    <n v="51.4"/>
    <n v="205.6"/>
    <x v="53"/>
    <d v="2025-02-23T00:00:00"/>
    <s v="F"/>
    <x v="0"/>
    <x v="0"/>
    <x v="0"/>
    <x v="26"/>
    <x v="7"/>
    <x v="8"/>
    <x v="2"/>
  </r>
  <r>
    <s v="TX501447"/>
    <x v="10"/>
    <x v="1"/>
    <n v="39.799999999999997"/>
    <n v="79.599999999999994"/>
    <x v="53"/>
    <d v="2025-02-26T00:00:00"/>
    <s v="M"/>
    <x v="3"/>
    <x v="1"/>
    <x v="0"/>
    <x v="13"/>
    <x v="2"/>
    <x v="8"/>
    <x v="1"/>
  </r>
  <r>
    <s v="TX501448"/>
    <x v="6"/>
    <x v="9"/>
    <n v="61"/>
    <n v="305"/>
    <x v="53"/>
    <d v="2025-02-24T00:00:00"/>
    <s v=""/>
    <x v="0"/>
    <x v="2"/>
    <x v="0"/>
    <x v="21"/>
    <x v="3"/>
    <x v="8"/>
    <x v="0"/>
  </r>
  <r>
    <s v="TX501449"/>
    <x v="8"/>
    <x v="5"/>
    <n v="15.1"/>
    <n v="166.1"/>
    <x v="54"/>
    <d v="2025-03-01T00:00:00"/>
    <s v="M"/>
    <x v="3"/>
    <x v="2"/>
    <x v="0"/>
    <x v="2"/>
    <x v="0"/>
    <x v="8"/>
    <x v="1"/>
  </r>
  <r>
    <s v="TX501450"/>
    <x v="1"/>
    <x v="3"/>
    <n v="71.3"/>
    <n v="499.09999999999997"/>
    <x v="54"/>
    <d v="2025-02-25T00:00:00"/>
    <s v="M"/>
    <x v="4"/>
    <x v="0"/>
    <x v="0"/>
    <x v="3"/>
    <x v="3"/>
    <x v="8"/>
    <x v="1"/>
  </r>
  <r>
    <s v="TX501451"/>
    <x v="10"/>
    <x v="0"/>
    <n v="25.8"/>
    <n v="25.8"/>
    <x v="54"/>
    <d v="2025-02-26T00:00:00"/>
    <s v="F"/>
    <x v="0"/>
    <x v="2"/>
    <x v="0"/>
    <x v="3"/>
    <x v="1"/>
    <x v="8"/>
    <x v="2"/>
  </r>
  <r>
    <s v="TX501452"/>
    <x v="8"/>
    <x v="9"/>
    <n v="39.6"/>
    <n v="198"/>
    <x v="54"/>
    <d v="2025-02-26T00:00:00"/>
    <s v="M"/>
    <x v="1"/>
    <x v="2"/>
    <x v="0"/>
    <x v="3"/>
    <x v="1"/>
    <x v="8"/>
    <x v="1"/>
  </r>
  <r>
    <s v="TX501453"/>
    <x v="5"/>
    <x v="1"/>
    <n v="64"/>
    <n v="128"/>
    <x v="54"/>
    <d v="2025-02-24T00:00:00"/>
    <s v="M"/>
    <x v="1"/>
    <x v="1"/>
    <x v="0"/>
    <x v="3"/>
    <x v="7"/>
    <x v="8"/>
    <x v="1"/>
  </r>
  <r>
    <s v="TX501454"/>
    <x v="8"/>
    <x v="1"/>
    <n v="30.6"/>
    <n v="61.2"/>
    <x v="54"/>
    <d v="2025-02-27T00:00:00"/>
    <s v="M"/>
    <x v="0"/>
    <x v="2"/>
    <x v="0"/>
    <x v="3"/>
    <x v="2"/>
    <x v="8"/>
    <x v="1"/>
  </r>
  <r>
    <s v="TX501455"/>
    <x v="8"/>
    <x v="1"/>
    <n v="21.3"/>
    <n v="42.6"/>
    <x v="54"/>
    <d v="2025-02-25T00:00:00"/>
    <s v="M"/>
    <x v="0"/>
    <x v="1"/>
    <x v="0"/>
    <x v="3"/>
    <x v="3"/>
    <x v="8"/>
    <x v="1"/>
  </r>
  <r>
    <s v="TX501456"/>
    <x v="7"/>
    <x v="0"/>
    <n v="40.799999999999997"/>
    <n v="40.799999999999997"/>
    <x v="54"/>
    <d v="2025-02-26T00:00:00"/>
    <s v="F"/>
    <x v="4"/>
    <x v="0"/>
    <x v="0"/>
    <x v="3"/>
    <x v="1"/>
    <x v="8"/>
    <x v="2"/>
  </r>
  <r>
    <s v="TX501457"/>
    <x v="9"/>
    <x v="12"/>
    <n v="27.7"/>
    <n v="110.8"/>
    <x v="54"/>
    <d v="2025-02-25T00:00:00"/>
    <s v="F"/>
    <x v="0"/>
    <x v="1"/>
    <x v="0"/>
    <x v="3"/>
    <x v="3"/>
    <x v="8"/>
    <x v="2"/>
  </r>
  <r>
    <s v="TX501458"/>
    <x v="6"/>
    <x v="1"/>
    <n v="64.599999999999994"/>
    <n v="129.19999999999999"/>
    <x v="54"/>
    <d v="2025-02-25T00:00:00"/>
    <s v="M"/>
    <x v="0"/>
    <x v="1"/>
    <x v="0"/>
    <x v="3"/>
    <x v="3"/>
    <x v="8"/>
    <x v="1"/>
  </r>
  <r>
    <s v="TX501459"/>
    <x v="6"/>
    <x v="27"/>
    <n v="91.1"/>
    <n v="1457.6"/>
    <x v="54"/>
    <d v="2025-02-25T00:00:00"/>
    <s v="F"/>
    <x v="1"/>
    <x v="2"/>
    <x v="0"/>
    <x v="3"/>
    <x v="3"/>
    <x v="8"/>
    <x v="2"/>
  </r>
  <r>
    <s v="TX501460"/>
    <x v="1"/>
    <x v="0"/>
    <n v="39.5"/>
    <n v="39.5"/>
    <x v="54"/>
    <d v="2025-03-04T00:00:00"/>
    <s v="F"/>
    <x v="0"/>
    <x v="0"/>
    <x v="0"/>
    <x v="3"/>
    <x v="9"/>
    <x v="8"/>
    <x v="2"/>
  </r>
  <r>
    <s v="TX501461"/>
    <x v="9"/>
    <x v="1"/>
    <n v="21.8"/>
    <n v="43.6"/>
    <x v="54"/>
    <d v="2025-02-28T00:00:00"/>
    <s v="M"/>
    <x v="4"/>
    <x v="2"/>
    <x v="0"/>
    <x v="3"/>
    <x v="5"/>
    <x v="8"/>
    <x v="1"/>
  </r>
  <r>
    <s v="TX501462"/>
    <x v="8"/>
    <x v="1"/>
    <n v="51"/>
    <n v="102"/>
    <x v="54"/>
    <d v="2025-02-27T00:00:00"/>
    <s v="M"/>
    <x v="3"/>
    <x v="2"/>
    <x v="0"/>
    <x v="3"/>
    <x v="2"/>
    <x v="8"/>
    <x v="1"/>
  </r>
  <r>
    <s v="TX501463"/>
    <x v="2"/>
    <x v="0"/>
    <n v="92.6"/>
    <n v="92.6"/>
    <x v="54"/>
    <d v="2025-02-27T00:00:00"/>
    <s v="F"/>
    <x v="0"/>
    <x v="2"/>
    <x v="0"/>
    <x v="35"/>
    <x v="2"/>
    <x v="8"/>
    <x v="2"/>
  </r>
  <r>
    <s v="TX501464"/>
    <x v="9"/>
    <x v="1"/>
    <n v="31.1"/>
    <n v="62.2"/>
    <x v="54"/>
    <d v="2025-03-01T00:00:00"/>
    <s v=""/>
    <x v="1"/>
    <x v="3"/>
    <x v="0"/>
    <x v="23"/>
    <x v="0"/>
    <x v="8"/>
    <x v="0"/>
  </r>
  <r>
    <s v="TX501465"/>
    <x v="5"/>
    <x v="2"/>
    <n v="56.4"/>
    <n v="169.2"/>
    <x v="54"/>
    <d v="2025-02-25T00:00:00"/>
    <s v=""/>
    <x v="1"/>
    <x v="0"/>
    <x v="0"/>
    <x v="6"/>
    <x v="3"/>
    <x v="8"/>
    <x v="0"/>
  </r>
  <r>
    <s v="TX501466"/>
    <x v="9"/>
    <x v="0"/>
    <n v="41.9"/>
    <n v="41.9"/>
    <x v="54"/>
    <d v="2025-02-24T00:00:00"/>
    <s v="M"/>
    <x v="1"/>
    <x v="0"/>
    <x v="0"/>
    <x v="6"/>
    <x v="7"/>
    <x v="8"/>
    <x v="1"/>
  </r>
  <r>
    <s v="TX501467"/>
    <x v="10"/>
    <x v="3"/>
    <n v="45.9"/>
    <n v="321.3"/>
    <x v="54"/>
    <d v="2025-02-25T00:00:00"/>
    <s v="M"/>
    <x v="3"/>
    <x v="2"/>
    <x v="0"/>
    <x v="8"/>
    <x v="3"/>
    <x v="8"/>
    <x v="1"/>
  </r>
  <r>
    <s v="TX501468"/>
    <x v="14"/>
    <x v="11"/>
    <n v="24.4"/>
    <n v="219.6"/>
    <x v="54"/>
    <d v="2025-02-28T00:00:00"/>
    <s v="M"/>
    <x v="3"/>
    <x v="2"/>
    <x v="0"/>
    <x v="8"/>
    <x v="5"/>
    <x v="8"/>
    <x v="1"/>
  </r>
  <r>
    <s v="TX501469"/>
    <x v="8"/>
    <x v="0"/>
    <n v="18.2"/>
    <n v="18.2"/>
    <x v="54"/>
    <d v="2025-02-25T00:00:00"/>
    <s v="F"/>
    <x v="2"/>
    <x v="2"/>
    <x v="0"/>
    <x v="8"/>
    <x v="3"/>
    <x v="8"/>
    <x v="2"/>
  </r>
  <r>
    <s v="TX501470"/>
    <x v="8"/>
    <x v="12"/>
    <n v="51.2"/>
    <n v="204.8"/>
    <x v="54"/>
    <d v="2025-02-25T00:00:00"/>
    <s v="F"/>
    <x v="0"/>
    <x v="0"/>
    <x v="0"/>
    <x v="8"/>
    <x v="3"/>
    <x v="8"/>
    <x v="2"/>
  </r>
  <r>
    <s v="TX501471"/>
    <x v="6"/>
    <x v="0"/>
    <n v="59.7"/>
    <n v="59.7"/>
    <x v="54"/>
    <d v="2025-02-27T00:00:00"/>
    <s v="M"/>
    <x v="0"/>
    <x v="2"/>
    <x v="0"/>
    <x v="8"/>
    <x v="2"/>
    <x v="8"/>
    <x v="1"/>
  </r>
  <r>
    <s v="TX501472"/>
    <x v="4"/>
    <x v="1"/>
    <n v="33.6"/>
    <n v="67.2"/>
    <x v="54"/>
    <d v="2025-02-26T00:00:00"/>
    <s v="F"/>
    <x v="0"/>
    <x v="0"/>
    <x v="0"/>
    <x v="17"/>
    <x v="1"/>
    <x v="8"/>
    <x v="2"/>
  </r>
  <r>
    <s v="TX501473"/>
    <x v="12"/>
    <x v="0"/>
    <n v="90.4"/>
    <n v="90.4"/>
    <x v="54"/>
    <d v="2025-02-28T00:00:00"/>
    <s v="M"/>
    <x v="1"/>
    <x v="2"/>
    <x v="0"/>
    <x v="10"/>
    <x v="5"/>
    <x v="8"/>
    <x v="1"/>
  </r>
  <r>
    <s v="TX501474"/>
    <x v="11"/>
    <x v="2"/>
    <n v="70.3"/>
    <n v="210.89999999999998"/>
    <x v="54"/>
    <d v="2025-02-24T00:00:00"/>
    <s v="M"/>
    <x v="1"/>
    <x v="2"/>
    <x v="0"/>
    <x v="11"/>
    <x v="7"/>
    <x v="8"/>
    <x v="1"/>
  </r>
  <r>
    <s v="TX501475"/>
    <x v="4"/>
    <x v="1"/>
    <n v="20.5"/>
    <n v="41"/>
    <x v="54"/>
    <d v="2025-02-27T00:00:00"/>
    <s v="F"/>
    <x v="0"/>
    <x v="1"/>
    <x v="0"/>
    <x v="11"/>
    <x v="2"/>
    <x v="8"/>
    <x v="2"/>
  </r>
  <r>
    <s v="TX501476"/>
    <x v="5"/>
    <x v="5"/>
    <n v="37.6"/>
    <n v="413.6"/>
    <x v="54"/>
    <d v="2025-02-25T00:00:00"/>
    <s v="M"/>
    <x v="0"/>
    <x v="0"/>
    <x v="0"/>
    <x v="38"/>
    <x v="3"/>
    <x v="8"/>
    <x v="1"/>
  </r>
  <r>
    <s v="TX501477"/>
    <x v="5"/>
    <x v="12"/>
    <n v="61.5"/>
    <n v="246"/>
    <x v="54"/>
    <d v="2025-03-03T00:00:00"/>
    <s v="F"/>
    <x v="1"/>
    <x v="4"/>
    <x v="0"/>
    <x v="13"/>
    <x v="6"/>
    <x v="8"/>
    <x v="2"/>
  </r>
  <r>
    <s v="TX501478"/>
    <x v="9"/>
    <x v="0"/>
    <n v="33.5"/>
    <n v="33.5"/>
    <x v="55"/>
    <d v="2025-03-01T00:00:00"/>
    <s v="M"/>
    <x v="4"/>
    <x v="1"/>
    <x v="0"/>
    <x v="21"/>
    <x v="5"/>
    <x v="8"/>
    <x v="1"/>
  </r>
  <r>
    <s v="TX501479"/>
    <x v="4"/>
    <x v="2"/>
    <n v="29.3"/>
    <n v="87.9"/>
    <x v="55"/>
    <d v="2025-02-27T00:00:00"/>
    <s v="F"/>
    <x v="1"/>
    <x v="2"/>
    <x v="0"/>
    <x v="1"/>
    <x v="1"/>
    <x v="8"/>
    <x v="2"/>
  </r>
  <r>
    <s v="TX501480"/>
    <x v="2"/>
    <x v="1"/>
    <n v="125.9"/>
    <n v="251.8"/>
    <x v="55"/>
    <d v="2025-03-02T00:00:00"/>
    <s v="F"/>
    <x v="4"/>
    <x v="1"/>
    <x v="0"/>
    <x v="1"/>
    <x v="0"/>
    <x v="8"/>
    <x v="2"/>
  </r>
  <r>
    <s v="TX501481"/>
    <x v="5"/>
    <x v="9"/>
    <n v="29.3"/>
    <n v="146.5"/>
    <x v="55"/>
    <d v="2025-02-25T00:00:00"/>
    <s v="M"/>
    <x v="2"/>
    <x v="0"/>
    <x v="0"/>
    <x v="44"/>
    <x v="7"/>
    <x v="8"/>
    <x v="1"/>
  </r>
  <r>
    <s v="TX501482"/>
    <x v="9"/>
    <x v="0"/>
    <n v="37.799999999999997"/>
    <n v="37.799999999999997"/>
    <x v="55"/>
    <d v="2025-02-28T00:00:00"/>
    <s v="F"/>
    <x v="0"/>
    <x v="2"/>
    <x v="0"/>
    <x v="3"/>
    <x v="2"/>
    <x v="8"/>
    <x v="2"/>
  </r>
  <r>
    <s v="TX501483"/>
    <x v="0"/>
    <x v="12"/>
    <n v="31.7"/>
    <n v="126.8"/>
    <x v="55"/>
    <d v="2025-02-26T00:00:00"/>
    <s v="M"/>
    <x v="2"/>
    <x v="2"/>
    <x v="0"/>
    <x v="3"/>
    <x v="3"/>
    <x v="8"/>
    <x v="1"/>
  </r>
  <r>
    <s v="TX501484"/>
    <x v="8"/>
    <x v="9"/>
    <n v="26.3"/>
    <n v="131.5"/>
    <x v="55"/>
    <d v="2025-02-26T00:00:00"/>
    <s v="F"/>
    <x v="3"/>
    <x v="2"/>
    <x v="0"/>
    <x v="3"/>
    <x v="3"/>
    <x v="8"/>
    <x v="2"/>
  </r>
  <r>
    <s v="TX501485"/>
    <x v="8"/>
    <x v="2"/>
    <n v="23.1"/>
    <n v="69.300000000000011"/>
    <x v="55"/>
    <d v="2025-02-26T00:00:00"/>
    <s v="O"/>
    <x v="2"/>
    <x v="1"/>
    <x v="0"/>
    <x v="3"/>
    <x v="3"/>
    <x v="8"/>
    <x v="3"/>
  </r>
  <r>
    <s v="TX501486"/>
    <x v="4"/>
    <x v="0"/>
    <n v="22.3"/>
    <n v="22.3"/>
    <x v="55"/>
    <d v="2025-02-27T00:00:00"/>
    <s v="F"/>
    <x v="2"/>
    <x v="0"/>
    <x v="0"/>
    <x v="3"/>
    <x v="1"/>
    <x v="8"/>
    <x v="2"/>
  </r>
  <r>
    <s v="TX501487"/>
    <x v="12"/>
    <x v="1"/>
    <n v="99.5"/>
    <n v="199"/>
    <x v="55"/>
    <d v="2025-02-27T00:00:00"/>
    <s v="F"/>
    <x v="2"/>
    <x v="0"/>
    <x v="0"/>
    <x v="3"/>
    <x v="1"/>
    <x v="8"/>
    <x v="2"/>
  </r>
  <r>
    <s v="TX501488"/>
    <x v="12"/>
    <x v="12"/>
    <n v="47.4"/>
    <n v="189.6"/>
    <x v="55"/>
    <d v="2025-02-28T00:00:00"/>
    <s v="F"/>
    <x v="1"/>
    <x v="0"/>
    <x v="0"/>
    <x v="3"/>
    <x v="2"/>
    <x v="8"/>
    <x v="2"/>
  </r>
  <r>
    <s v="TX501489"/>
    <x v="0"/>
    <x v="5"/>
    <n v="37.5"/>
    <n v="412.5"/>
    <x v="55"/>
    <d v="2025-02-27T00:00:00"/>
    <s v="F"/>
    <x v="0"/>
    <x v="3"/>
    <x v="0"/>
    <x v="3"/>
    <x v="1"/>
    <x v="8"/>
    <x v="2"/>
  </r>
  <r>
    <s v="TX501490"/>
    <x v="10"/>
    <x v="0"/>
    <n v="45.1"/>
    <n v="45.1"/>
    <x v="55"/>
    <d v="2025-03-02T00:00:00"/>
    <s v="M"/>
    <x v="3"/>
    <x v="2"/>
    <x v="0"/>
    <x v="24"/>
    <x v="0"/>
    <x v="8"/>
    <x v="1"/>
  </r>
  <r>
    <s v="TX501491"/>
    <x v="5"/>
    <x v="7"/>
    <n v="34.4"/>
    <n v="344"/>
    <x v="55"/>
    <d v="2025-02-28T00:00:00"/>
    <s v="M"/>
    <x v="2"/>
    <x v="0"/>
    <x v="0"/>
    <x v="16"/>
    <x v="2"/>
    <x v="8"/>
    <x v="1"/>
  </r>
  <r>
    <s v="TX501492"/>
    <x v="4"/>
    <x v="1"/>
    <n v="38"/>
    <n v="76"/>
    <x v="55"/>
    <d v="2025-02-27T00:00:00"/>
    <s v="F"/>
    <x v="1"/>
    <x v="0"/>
    <x v="0"/>
    <x v="5"/>
    <x v="1"/>
    <x v="8"/>
    <x v="2"/>
  </r>
  <r>
    <s v="TX501493"/>
    <x v="3"/>
    <x v="21"/>
    <n v="32.4"/>
    <n v="453.59999999999997"/>
    <x v="55"/>
    <d v="2025-02-28T00:00:00"/>
    <s v="M"/>
    <x v="4"/>
    <x v="0"/>
    <x v="0"/>
    <x v="6"/>
    <x v="2"/>
    <x v="8"/>
    <x v="1"/>
  </r>
  <r>
    <s v="TX501494"/>
    <x v="6"/>
    <x v="2"/>
    <n v="40.9"/>
    <n v="122.69999999999999"/>
    <x v="55"/>
    <d v="2025-02-25T00:00:00"/>
    <s v=""/>
    <x v="1"/>
    <x v="0"/>
    <x v="0"/>
    <x v="8"/>
    <x v="7"/>
    <x v="8"/>
    <x v="0"/>
  </r>
  <r>
    <s v="TX501495"/>
    <x v="7"/>
    <x v="3"/>
    <n v="76.2"/>
    <n v="533.4"/>
    <x v="55"/>
    <d v="2025-02-27T00:00:00"/>
    <s v="F"/>
    <x v="2"/>
    <x v="1"/>
    <x v="0"/>
    <x v="8"/>
    <x v="1"/>
    <x v="8"/>
    <x v="2"/>
  </r>
  <r>
    <s v="TX501496"/>
    <x v="2"/>
    <x v="0"/>
    <n v="85.6"/>
    <n v="85.6"/>
    <x v="55"/>
    <d v="2025-02-27T00:00:00"/>
    <s v="M"/>
    <x v="2"/>
    <x v="0"/>
    <x v="0"/>
    <x v="8"/>
    <x v="1"/>
    <x v="8"/>
    <x v="1"/>
  </r>
  <r>
    <s v="TX501497"/>
    <x v="4"/>
    <x v="12"/>
    <n v="25"/>
    <n v="100"/>
    <x v="55"/>
    <d v="2025-02-27T00:00:00"/>
    <s v="F"/>
    <x v="2"/>
    <x v="2"/>
    <x v="0"/>
    <x v="8"/>
    <x v="1"/>
    <x v="8"/>
    <x v="2"/>
  </r>
  <r>
    <s v="TX501498"/>
    <x v="2"/>
    <x v="9"/>
    <n v="150.69999999999999"/>
    <n v="753.5"/>
    <x v="55"/>
    <d v="2025-02-26T00:00:00"/>
    <s v=""/>
    <x v="0"/>
    <x v="2"/>
    <x v="0"/>
    <x v="8"/>
    <x v="3"/>
    <x v="8"/>
    <x v="0"/>
  </r>
  <r>
    <s v="TX501499"/>
    <x v="8"/>
    <x v="0"/>
    <n v="19.600000000000001"/>
    <n v="19.600000000000001"/>
    <x v="55"/>
    <d v="2025-02-26T00:00:00"/>
    <s v="M"/>
    <x v="1"/>
    <x v="4"/>
    <x v="0"/>
    <x v="8"/>
    <x v="3"/>
    <x v="8"/>
    <x v="1"/>
  </r>
  <r>
    <s v="TX501500"/>
    <x v="13"/>
    <x v="1"/>
    <n v="37.5"/>
    <n v="75"/>
    <x v="55"/>
    <d v="2025-02-28T00:00:00"/>
    <s v="F"/>
    <x v="1"/>
    <x v="2"/>
    <x v="0"/>
    <x v="17"/>
    <x v="2"/>
    <x v="8"/>
    <x v="2"/>
  </r>
  <r>
    <s v="TX501501"/>
    <x v="9"/>
    <x v="2"/>
    <n v="51.9"/>
    <n v="155.69999999999999"/>
    <x v="55"/>
    <d v="2025-03-03T00:00:00"/>
    <s v="F"/>
    <x v="0"/>
    <x v="4"/>
    <x v="0"/>
    <x v="11"/>
    <x v="4"/>
    <x v="8"/>
    <x v="2"/>
  </r>
  <r>
    <s v="TX501502"/>
    <x v="1"/>
    <x v="1"/>
    <n v="30.9"/>
    <n v="61.8"/>
    <x v="55"/>
    <d v="2025-02-27T00:00:00"/>
    <s v="F"/>
    <x v="1"/>
    <x v="0"/>
    <x v="0"/>
    <x v="18"/>
    <x v="1"/>
    <x v="8"/>
    <x v="2"/>
  </r>
  <r>
    <s v="TX501503"/>
    <x v="4"/>
    <x v="2"/>
    <n v="21.2"/>
    <n v="63.599999999999994"/>
    <x v="55"/>
    <d v="2025-02-28T00:00:00"/>
    <s v="F"/>
    <x v="1"/>
    <x v="0"/>
    <x v="0"/>
    <x v="19"/>
    <x v="2"/>
    <x v="8"/>
    <x v="2"/>
  </r>
  <r>
    <s v="TX501504"/>
    <x v="13"/>
    <x v="14"/>
    <n v="17.5"/>
    <n v="297.5"/>
    <x v="55"/>
    <d v="2025-02-26T00:00:00"/>
    <s v="M"/>
    <x v="1"/>
    <x v="1"/>
    <x v="0"/>
    <x v="13"/>
    <x v="3"/>
    <x v="8"/>
    <x v="1"/>
  </r>
  <r>
    <s v="TX501505"/>
    <x v="12"/>
    <x v="1"/>
    <n v="53.8"/>
    <n v="107.6"/>
    <x v="55"/>
    <d v="2025-03-02T00:00:00"/>
    <s v="F"/>
    <x v="0"/>
    <x v="2"/>
    <x v="0"/>
    <x v="21"/>
    <x v="0"/>
    <x v="8"/>
    <x v="2"/>
  </r>
  <r>
    <s v="TX501506"/>
    <x v="19"/>
    <x v="1"/>
    <n v="17"/>
    <n v="34"/>
    <x v="55"/>
    <d v="2025-02-26T00:00:00"/>
    <s v="M"/>
    <x v="3"/>
    <x v="0"/>
    <x v="0"/>
    <x v="21"/>
    <x v="3"/>
    <x v="8"/>
    <x v="1"/>
  </r>
  <r>
    <s v="TX501507"/>
    <x v="6"/>
    <x v="0"/>
    <n v="103.2"/>
    <n v="103.2"/>
    <x v="55"/>
    <d v="2025-03-05T00:00:00"/>
    <s v="M"/>
    <x v="2"/>
    <x v="1"/>
    <x v="0"/>
    <x v="1"/>
    <x v="9"/>
    <x v="8"/>
    <x v="1"/>
  </r>
  <r>
    <s v="TX501508"/>
    <x v="6"/>
    <x v="12"/>
    <n v="70.3"/>
    <n v="281.2"/>
    <x v="55"/>
    <d v="2025-02-26T00:00:00"/>
    <s v="M"/>
    <x v="0"/>
    <x v="0"/>
    <x v="0"/>
    <x v="3"/>
    <x v="3"/>
    <x v="8"/>
    <x v="1"/>
  </r>
  <r>
    <s v="TX501509"/>
    <x v="2"/>
    <x v="1"/>
    <n v="73.8"/>
    <n v="147.6"/>
    <x v="55"/>
    <d v="2025-02-25T00:00:00"/>
    <s v="M"/>
    <x v="3"/>
    <x v="2"/>
    <x v="0"/>
    <x v="3"/>
    <x v="7"/>
    <x v="8"/>
    <x v="1"/>
  </r>
  <r>
    <s v="TX501510"/>
    <x v="1"/>
    <x v="4"/>
    <n v="67.7"/>
    <n v="812.40000000000009"/>
    <x v="55"/>
    <d v="2025-03-01T00:00:00"/>
    <s v="M"/>
    <x v="1"/>
    <x v="1"/>
    <x v="0"/>
    <x v="3"/>
    <x v="5"/>
    <x v="8"/>
    <x v="1"/>
  </r>
  <r>
    <s v="TX501511"/>
    <x v="13"/>
    <x v="3"/>
    <n v="43.8"/>
    <n v="306.59999999999997"/>
    <x v="55"/>
    <d v="2025-02-27T00:00:00"/>
    <s v="M"/>
    <x v="1"/>
    <x v="0"/>
    <x v="0"/>
    <x v="3"/>
    <x v="1"/>
    <x v="8"/>
    <x v="1"/>
  </r>
  <r>
    <s v="TX501512"/>
    <x v="17"/>
    <x v="13"/>
    <n v="71.900000000000006"/>
    <n v="431.40000000000003"/>
    <x v="55"/>
    <d v="2025-02-26T00:00:00"/>
    <s v="F"/>
    <x v="2"/>
    <x v="0"/>
    <x v="0"/>
    <x v="3"/>
    <x v="3"/>
    <x v="8"/>
    <x v="2"/>
  </r>
  <r>
    <s v="TX501513"/>
    <x v="8"/>
    <x v="1"/>
    <n v="26.3"/>
    <n v="52.6"/>
    <x v="56"/>
    <d v="2025-02-28T00:00:00"/>
    <s v="F"/>
    <x v="0"/>
    <x v="1"/>
    <x v="0"/>
    <x v="3"/>
    <x v="1"/>
    <x v="8"/>
    <x v="2"/>
  </r>
  <r>
    <s v="TX501514"/>
    <x v="6"/>
    <x v="12"/>
    <n v="52.6"/>
    <n v="210.4"/>
    <x v="56"/>
    <d v="2025-02-28T00:00:00"/>
    <s v="F"/>
    <x v="2"/>
    <x v="1"/>
    <x v="0"/>
    <x v="3"/>
    <x v="1"/>
    <x v="8"/>
    <x v="2"/>
  </r>
  <r>
    <s v="TX501515"/>
    <x v="10"/>
    <x v="0"/>
    <n v="32.700000000000003"/>
    <n v="32.700000000000003"/>
    <x v="56"/>
    <d v="2025-03-05T00:00:00"/>
    <s v="F"/>
    <x v="0"/>
    <x v="2"/>
    <x v="0"/>
    <x v="3"/>
    <x v="6"/>
    <x v="8"/>
    <x v="2"/>
  </r>
  <r>
    <s v="TX501516"/>
    <x v="5"/>
    <x v="12"/>
    <n v="38.9"/>
    <n v="155.6"/>
    <x v="56"/>
    <d v="2025-02-27T00:00:00"/>
    <s v="F"/>
    <x v="0"/>
    <x v="0"/>
    <x v="0"/>
    <x v="3"/>
    <x v="3"/>
    <x v="8"/>
    <x v="2"/>
  </r>
  <r>
    <s v="TX501517"/>
    <x v="9"/>
    <x v="9"/>
    <n v="35"/>
    <n v="175"/>
    <x v="56"/>
    <d v="2025-02-28T00:00:00"/>
    <s v="M"/>
    <x v="0"/>
    <x v="0"/>
    <x v="0"/>
    <x v="3"/>
    <x v="1"/>
    <x v="8"/>
    <x v="1"/>
  </r>
  <r>
    <s v="TX501518"/>
    <x v="2"/>
    <x v="1"/>
    <n v="121"/>
    <n v="242"/>
    <x v="56"/>
    <d v="2025-02-27T00:00:00"/>
    <s v="F"/>
    <x v="1"/>
    <x v="1"/>
    <x v="0"/>
    <x v="3"/>
    <x v="3"/>
    <x v="8"/>
    <x v="2"/>
  </r>
  <r>
    <s v="TX501519"/>
    <x v="6"/>
    <x v="2"/>
    <n v="65.099999999999994"/>
    <n v="195.29999999999998"/>
    <x v="56"/>
    <d v="2025-03-02T00:00:00"/>
    <s v="M"/>
    <x v="2"/>
    <x v="0"/>
    <x v="0"/>
    <x v="36"/>
    <x v="5"/>
    <x v="8"/>
    <x v="1"/>
  </r>
  <r>
    <s v="TX501520"/>
    <x v="1"/>
    <x v="38"/>
    <n v="63.8"/>
    <n v="1339.8"/>
    <x v="56"/>
    <d v="2025-02-28T00:00:00"/>
    <s v="F"/>
    <x v="0"/>
    <x v="0"/>
    <x v="0"/>
    <x v="8"/>
    <x v="1"/>
    <x v="8"/>
    <x v="2"/>
  </r>
  <r>
    <s v="TX501521"/>
    <x v="7"/>
    <x v="0"/>
    <n v="77.7"/>
    <n v="77.7"/>
    <x v="56"/>
    <d v="2025-02-28T00:00:00"/>
    <s v="M"/>
    <x v="0"/>
    <x v="0"/>
    <x v="0"/>
    <x v="8"/>
    <x v="1"/>
    <x v="8"/>
    <x v="1"/>
  </r>
  <r>
    <s v="TX501522"/>
    <x v="5"/>
    <x v="12"/>
    <n v="60.3"/>
    <n v="241.2"/>
    <x v="56"/>
    <d v="2025-02-26T00:00:00"/>
    <s v="M"/>
    <x v="0"/>
    <x v="2"/>
    <x v="0"/>
    <x v="8"/>
    <x v="7"/>
    <x v="8"/>
    <x v="1"/>
  </r>
  <r>
    <s v="TX501523"/>
    <x v="5"/>
    <x v="1"/>
    <n v="124.1"/>
    <n v="248.2"/>
    <x v="56"/>
    <d v="2025-03-01T00:00:00"/>
    <s v="F"/>
    <x v="0"/>
    <x v="2"/>
    <x v="0"/>
    <x v="8"/>
    <x v="2"/>
    <x v="8"/>
    <x v="2"/>
  </r>
  <r>
    <s v="TX501524"/>
    <x v="16"/>
    <x v="3"/>
    <n v="66"/>
    <n v="462"/>
    <x v="56"/>
    <d v="2025-02-26T00:00:00"/>
    <s v=""/>
    <x v="3"/>
    <x v="0"/>
    <x v="0"/>
    <x v="17"/>
    <x v="7"/>
    <x v="8"/>
    <x v="0"/>
  </r>
  <r>
    <s v="TX501525"/>
    <x v="2"/>
    <x v="42"/>
    <n v="118.2"/>
    <n v="7446.6"/>
    <x v="56"/>
    <d v="2025-03-03T00:00:00"/>
    <s v=""/>
    <x v="0"/>
    <x v="0"/>
    <x v="0"/>
    <x v="17"/>
    <x v="0"/>
    <x v="8"/>
    <x v="0"/>
  </r>
  <r>
    <s v="TX501526"/>
    <x v="5"/>
    <x v="9"/>
    <n v="64.3"/>
    <n v="321.5"/>
    <x v="56"/>
    <d v="2025-02-27T00:00:00"/>
    <s v="M"/>
    <x v="4"/>
    <x v="4"/>
    <x v="0"/>
    <x v="26"/>
    <x v="3"/>
    <x v="8"/>
    <x v="1"/>
  </r>
  <r>
    <s v="TX501527"/>
    <x v="1"/>
    <x v="1"/>
    <n v="54.8"/>
    <n v="109.6"/>
    <x v="56"/>
    <d v="2025-02-26T00:00:00"/>
    <s v="M"/>
    <x v="0"/>
    <x v="1"/>
    <x v="0"/>
    <x v="26"/>
    <x v="7"/>
    <x v="8"/>
    <x v="1"/>
  </r>
  <r>
    <s v="TX501528"/>
    <x v="7"/>
    <x v="1"/>
    <n v="78.599999999999994"/>
    <n v="157.19999999999999"/>
    <x v="56"/>
    <d v="2025-02-27T00:00:00"/>
    <s v="M"/>
    <x v="0"/>
    <x v="2"/>
    <x v="0"/>
    <x v="9"/>
    <x v="3"/>
    <x v="8"/>
    <x v="1"/>
  </r>
  <r>
    <s v="TX501529"/>
    <x v="2"/>
    <x v="9"/>
    <n v="158.5"/>
    <n v="792.5"/>
    <x v="56"/>
    <d v="2025-02-28T00:00:00"/>
    <s v=""/>
    <x v="2"/>
    <x v="2"/>
    <x v="0"/>
    <x v="9"/>
    <x v="1"/>
    <x v="8"/>
    <x v="0"/>
  </r>
  <r>
    <s v="TX501530"/>
    <x v="4"/>
    <x v="7"/>
    <n v="23.5"/>
    <n v="235"/>
    <x v="56"/>
    <d v="2025-03-01T00:00:00"/>
    <s v="M"/>
    <x v="0"/>
    <x v="4"/>
    <x v="0"/>
    <x v="10"/>
    <x v="2"/>
    <x v="8"/>
    <x v="1"/>
  </r>
  <r>
    <s v="TX501531"/>
    <x v="5"/>
    <x v="1"/>
    <n v="32.1"/>
    <n v="64.2"/>
    <x v="56"/>
    <d v="2025-02-28T00:00:00"/>
    <s v=""/>
    <x v="3"/>
    <x v="0"/>
    <x v="0"/>
    <x v="10"/>
    <x v="1"/>
    <x v="8"/>
    <x v="0"/>
  </r>
  <r>
    <s v="TX501532"/>
    <x v="17"/>
    <x v="12"/>
    <n v="71.900000000000006"/>
    <n v="287.60000000000002"/>
    <x v="56"/>
    <d v="2025-02-26T00:00:00"/>
    <s v="M"/>
    <x v="2"/>
    <x v="0"/>
    <x v="0"/>
    <x v="19"/>
    <x v="7"/>
    <x v="8"/>
    <x v="1"/>
  </r>
  <r>
    <s v="TX501533"/>
    <x v="4"/>
    <x v="13"/>
    <n v="22.3"/>
    <n v="133.80000000000001"/>
    <x v="56"/>
    <d v="2025-02-27T00:00:00"/>
    <s v=""/>
    <x v="3"/>
    <x v="2"/>
    <x v="0"/>
    <x v="13"/>
    <x v="3"/>
    <x v="8"/>
    <x v="0"/>
  </r>
  <r>
    <s v="TX501534"/>
    <x v="11"/>
    <x v="1"/>
    <n v="29.5"/>
    <n v="59"/>
    <x v="56"/>
    <d v="2025-02-27T00:00:00"/>
    <s v="F"/>
    <x v="0"/>
    <x v="2"/>
    <x v="0"/>
    <x v="13"/>
    <x v="3"/>
    <x v="8"/>
    <x v="2"/>
  </r>
  <r>
    <s v="TX501535"/>
    <x v="6"/>
    <x v="12"/>
    <n v="41.9"/>
    <n v="167.6"/>
    <x v="56"/>
    <d v="2025-03-02T00:00:00"/>
    <s v="F"/>
    <x v="0"/>
    <x v="1"/>
    <x v="0"/>
    <x v="21"/>
    <x v="5"/>
    <x v="8"/>
    <x v="2"/>
  </r>
  <r>
    <s v="TX501536"/>
    <x v="6"/>
    <x v="2"/>
    <n v="107.8"/>
    <n v="323.39999999999998"/>
    <x v="56"/>
    <d v="2025-02-27T00:00:00"/>
    <s v="M"/>
    <x v="1"/>
    <x v="2"/>
    <x v="0"/>
    <x v="46"/>
    <x v="3"/>
    <x v="8"/>
    <x v="1"/>
  </r>
  <r>
    <s v="TX501537"/>
    <x v="4"/>
    <x v="9"/>
    <n v="18.100000000000001"/>
    <n v="90.5"/>
    <x v="56"/>
    <d v="2025-03-01T00:00:00"/>
    <s v="M"/>
    <x v="0"/>
    <x v="2"/>
    <x v="0"/>
    <x v="2"/>
    <x v="2"/>
    <x v="8"/>
    <x v="1"/>
  </r>
  <r>
    <s v="TX501538"/>
    <x v="12"/>
    <x v="11"/>
    <n v="79.8"/>
    <n v="718.19999999999993"/>
    <x v="56"/>
    <d v="2025-02-27T00:00:00"/>
    <s v="F"/>
    <x v="1"/>
    <x v="1"/>
    <x v="0"/>
    <x v="22"/>
    <x v="3"/>
    <x v="8"/>
    <x v="2"/>
  </r>
  <r>
    <s v="TX501539"/>
    <x v="0"/>
    <x v="2"/>
    <n v="22.3"/>
    <n v="66.900000000000006"/>
    <x v="56"/>
    <d v="2025-03-01T00:00:00"/>
    <s v="F"/>
    <x v="0"/>
    <x v="2"/>
    <x v="0"/>
    <x v="22"/>
    <x v="2"/>
    <x v="8"/>
    <x v="2"/>
  </r>
  <r>
    <s v="TX501540"/>
    <x v="8"/>
    <x v="0"/>
    <n v="22.9"/>
    <n v="22.9"/>
    <x v="56"/>
    <d v="2025-02-26T00:00:00"/>
    <s v="F"/>
    <x v="1"/>
    <x v="0"/>
    <x v="0"/>
    <x v="22"/>
    <x v="7"/>
    <x v="8"/>
    <x v="2"/>
  </r>
  <r>
    <s v="TX501541"/>
    <x v="0"/>
    <x v="2"/>
    <n v="16.2"/>
    <n v="48.599999999999994"/>
    <x v="57"/>
    <d v="2025-02-27T00:00:00"/>
    <s v="M"/>
    <x v="4"/>
    <x v="2"/>
    <x v="0"/>
    <x v="3"/>
    <x v="7"/>
    <x v="8"/>
    <x v="1"/>
  </r>
  <r>
    <s v="TX501542"/>
    <x v="10"/>
    <x v="12"/>
    <n v="59.5"/>
    <n v="238"/>
    <x v="57"/>
    <d v="2025-02-28T00:00:00"/>
    <s v="M"/>
    <x v="1"/>
    <x v="2"/>
    <x v="0"/>
    <x v="3"/>
    <x v="3"/>
    <x v="8"/>
    <x v="1"/>
  </r>
  <r>
    <s v="TX501543"/>
    <x v="18"/>
    <x v="9"/>
    <n v="26.2"/>
    <n v="131"/>
    <x v="57"/>
    <d v="2025-03-02T00:00:00"/>
    <s v="M"/>
    <x v="3"/>
    <x v="4"/>
    <x v="0"/>
    <x v="3"/>
    <x v="2"/>
    <x v="8"/>
    <x v="1"/>
  </r>
  <r>
    <s v="TX501544"/>
    <x v="3"/>
    <x v="0"/>
    <n v="44.2"/>
    <n v="44.2"/>
    <x v="57"/>
    <d v="2025-03-02T00:00:00"/>
    <s v="F"/>
    <x v="1"/>
    <x v="0"/>
    <x v="0"/>
    <x v="3"/>
    <x v="2"/>
    <x v="8"/>
    <x v="2"/>
  </r>
  <r>
    <s v="TX501545"/>
    <x v="9"/>
    <x v="1"/>
    <n v="59.2"/>
    <n v="118.4"/>
    <x v="57"/>
    <d v="2025-02-27T00:00:00"/>
    <s v="F"/>
    <x v="1"/>
    <x v="4"/>
    <x v="0"/>
    <x v="3"/>
    <x v="7"/>
    <x v="8"/>
    <x v="2"/>
  </r>
  <r>
    <s v="TX501546"/>
    <x v="15"/>
    <x v="12"/>
    <n v="41.5"/>
    <n v="166"/>
    <x v="57"/>
    <d v="2025-03-01T00:00:00"/>
    <s v="F"/>
    <x v="0"/>
    <x v="0"/>
    <x v="0"/>
    <x v="16"/>
    <x v="1"/>
    <x v="8"/>
    <x v="2"/>
  </r>
  <r>
    <s v="TX501547"/>
    <x v="6"/>
    <x v="4"/>
    <n v="67.099999999999994"/>
    <n v="805.19999999999993"/>
    <x v="57"/>
    <d v="2025-03-13T00:00:00"/>
    <s v="F"/>
    <x v="0"/>
    <x v="2"/>
    <x v="0"/>
    <x v="23"/>
    <x v="12"/>
    <x v="8"/>
    <x v="2"/>
  </r>
  <r>
    <s v="TX501548"/>
    <x v="8"/>
    <x v="1"/>
    <n v="28.7"/>
    <n v="57.4"/>
    <x v="57"/>
    <d v="2025-03-03T00:00:00"/>
    <s v="F"/>
    <x v="1"/>
    <x v="0"/>
    <x v="0"/>
    <x v="6"/>
    <x v="5"/>
    <x v="8"/>
    <x v="2"/>
  </r>
  <r>
    <s v="TX501549"/>
    <x v="2"/>
    <x v="12"/>
    <n v="132.1"/>
    <n v="528.4"/>
    <x v="57"/>
    <d v="2025-02-28T00:00:00"/>
    <s v="F"/>
    <x v="0"/>
    <x v="1"/>
    <x v="0"/>
    <x v="6"/>
    <x v="3"/>
    <x v="8"/>
    <x v="2"/>
  </r>
  <r>
    <s v="TX501550"/>
    <x v="18"/>
    <x v="1"/>
    <n v="47"/>
    <n v="94"/>
    <x v="57"/>
    <d v="2025-03-01T00:00:00"/>
    <s v="M"/>
    <x v="4"/>
    <x v="0"/>
    <x v="0"/>
    <x v="8"/>
    <x v="1"/>
    <x v="8"/>
    <x v="1"/>
  </r>
  <r>
    <s v="TX501551"/>
    <x v="8"/>
    <x v="1"/>
    <n v="41.6"/>
    <n v="83.2"/>
    <x v="57"/>
    <d v="2025-03-03T00:00:00"/>
    <s v="M"/>
    <x v="1"/>
    <x v="2"/>
    <x v="0"/>
    <x v="8"/>
    <x v="5"/>
    <x v="8"/>
    <x v="1"/>
  </r>
  <r>
    <s v="TX501552"/>
    <x v="8"/>
    <x v="43"/>
    <n v="17.3"/>
    <n v="657.4"/>
    <x v="57"/>
    <d v="2025-03-01T00:00:00"/>
    <s v="M"/>
    <x v="2"/>
    <x v="2"/>
    <x v="0"/>
    <x v="8"/>
    <x v="1"/>
    <x v="8"/>
    <x v="1"/>
  </r>
  <r>
    <s v="TX501553"/>
    <x v="13"/>
    <x v="2"/>
    <n v="41.8"/>
    <n v="125.39999999999999"/>
    <x v="57"/>
    <d v="2025-03-02T00:00:00"/>
    <s v="M"/>
    <x v="0"/>
    <x v="2"/>
    <x v="0"/>
    <x v="8"/>
    <x v="2"/>
    <x v="8"/>
    <x v="1"/>
  </r>
  <r>
    <s v="TX501554"/>
    <x v="10"/>
    <x v="0"/>
    <n v="24"/>
    <n v="24"/>
    <x v="57"/>
    <d v="2025-02-28T00:00:00"/>
    <s v="F"/>
    <x v="0"/>
    <x v="0"/>
    <x v="0"/>
    <x v="17"/>
    <x v="3"/>
    <x v="8"/>
    <x v="2"/>
  </r>
  <r>
    <s v="TX501555"/>
    <x v="14"/>
    <x v="11"/>
    <n v="18.5"/>
    <n v="166.5"/>
    <x v="57"/>
    <d v="2025-03-01T00:00:00"/>
    <s v="F"/>
    <x v="0"/>
    <x v="0"/>
    <x v="0"/>
    <x v="9"/>
    <x v="1"/>
    <x v="8"/>
    <x v="2"/>
  </r>
  <r>
    <s v="TX501556"/>
    <x v="3"/>
    <x v="4"/>
    <n v="66.7"/>
    <n v="800.40000000000009"/>
    <x v="57"/>
    <d v="2025-03-02T00:00:00"/>
    <s v=""/>
    <x v="0"/>
    <x v="2"/>
    <x v="0"/>
    <x v="11"/>
    <x v="2"/>
    <x v="8"/>
    <x v="0"/>
  </r>
  <r>
    <s v="TX501557"/>
    <x v="1"/>
    <x v="12"/>
    <n v="33.1"/>
    <n v="132.4"/>
    <x v="57"/>
    <d v="2025-03-04T00:00:00"/>
    <s v="M"/>
    <x v="3"/>
    <x v="0"/>
    <x v="0"/>
    <x v="11"/>
    <x v="0"/>
    <x v="8"/>
    <x v="1"/>
  </r>
  <r>
    <s v="TX501558"/>
    <x v="19"/>
    <x v="11"/>
    <n v="42.1"/>
    <n v="378.90000000000003"/>
    <x v="57"/>
    <d v="2025-03-10T00:00:00"/>
    <s v="M"/>
    <x v="1"/>
    <x v="0"/>
    <x v="0"/>
    <x v="18"/>
    <x v="11"/>
    <x v="8"/>
    <x v="1"/>
  </r>
  <r>
    <s v="TX501559"/>
    <x v="18"/>
    <x v="3"/>
    <n v="58.7"/>
    <n v="410.90000000000003"/>
    <x v="57"/>
    <d v="2025-02-27T00:00:00"/>
    <s v="O"/>
    <x v="3"/>
    <x v="0"/>
    <x v="0"/>
    <x v="31"/>
    <x v="7"/>
    <x v="8"/>
    <x v="3"/>
  </r>
  <r>
    <s v="TX501560"/>
    <x v="6"/>
    <x v="12"/>
    <n v="54"/>
    <n v="216"/>
    <x v="57"/>
    <d v="2025-03-01T00:00:00"/>
    <s v="F"/>
    <x v="1"/>
    <x v="0"/>
    <x v="0"/>
    <x v="1"/>
    <x v="1"/>
    <x v="8"/>
    <x v="2"/>
  </r>
  <r>
    <s v="TX501561"/>
    <x v="8"/>
    <x v="0"/>
    <n v="52.1"/>
    <n v="52.1"/>
    <x v="57"/>
    <d v="2025-02-28T00:00:00"/>
    <s v="F"/>
    <x v="2"/>
    <x v="2"/>
    <x v="0"/>
    <x v="2"/>
    <x v="3"/>
    <x v="8"/>
    <x v="2"/>
  </r>
  <r>
    <s v="TX501562"/>
    <x v="19"/>
    <x v="1"/>
    <n v="27"/>
    <n v="54"/>
    <x v="57"/>
    <d v="2025-03-02T00:00:00"/>
    <s v="O"/>
    <x v="2"/>
    <x v="0"/>
    <x v="0"/>
    <x v="22"/>
    <x v="2"/>
    <x v="8"/>
    <x v="3"/>
  </r>
  <r>
    <s v="TX501563"/>
    <x v="12"/>
    <x v="7"/>
    <n v="31"/>
    <n v="310"/>
    <x v="58"/>
    <d v="2025-03-01T00:00:00"/>
    <s v="F"/>
    <x v="3"/>
    <x v="2"/>
    <x v="0"/>
    <x v="22"/>
    <x v="3"/>
    <x v="8"/>
    <x v="2"/>
  </r>
  <r>
    <s v="TX501564"/>
    <x v="10"/>
    <x v="1"/>
    <n v="46.7"/>
    <n v="93.4"/>
    <x v="58"/>
    <d v="2025-02-28T00:00:00"/>
    <s v="F"/>
    <x v="0"/>
    <x v="0"/>
    <x v="0"/>
    <x v="34"/>
    <x v="7"/>
    <x v="8"/>
    <x v="2"/>
  </r>
  <r>
    <s v="TX501565"/>
    <x v="6"/>
    <x v="0"/>
    <n v="144.69999999999999"/>
    <n v="144.69999999999999"/>
    <x v="58"/>
    <d v="2025-03-03T00:00:00"/>
    <s v="M"/>
    <x v="0"/>
    <x v="2"/>
    <x v="0"/>
    <x v="3"/>
    <x v="2"/>
    <x v="8"/>
    <x v="1"/>
  </r>
  <r>
    <s v="TX501566"/>
    <x v="2"/>
    <x v="11"/>
    <n v="90.9"/>
    <n v="818.1"/>
    <x v="58"/>
    <d v="2025-03-01T00:00:00"/>
    <s v="M"/>
    <x v="0"/>
    <x v="2"/>
    <x v="0"/>
    <x v="3"/>
    <x v="3"/>
    <x v="8"/>
    <x v="1"/>
  </r>
  <r>
    <s v="TX501567"/>
    <x v="1"/>
    <x v="1"/>
    <n v="75.8"/>
    <n v="151.6"/>
    <x v="58"/>
    <d v="2025-03-01T00:00:00"/>
    <s v="F"/>
    <x v="2"/>
    <x v="1"/>
    <x v="0"/>
    <x v="3"/>
    <x v="3"/>
    <x v="8"/>
    <x v="2"/>
  </r>
  <r>
    <s v="TX501568"/>
    <x v="7"/>
    <x v="9"/>
    <n v="57.9"/>
    <n v="289.5"/>
    <x v="58"/>
    <d v="2025-03-02T00:00:00"/>
    <s v="M"/>
    <x v="2"/>
    <x v="2"/>
    <x v="0"/>
    <x v="3"/>
    <x v="1"/>
    <x v="8"/>
    <x v="1"/>
  </r>
  <r>
    <s v="TX501569"/>
    <x v="8"/>
    <x v="9"/>
    <n v="44.8"/>
    <n v="224"/>
    <x v="58"/>
    <d v="2025-03-01T00:00:00"/>
    <s v="F"/>
    <x v="3"/>
    <x v="2"/>
    <x v="0"/>
    <x v="3"/>
    <x v="3"/>
    <x v="8"/>
    <x v="2"/>
  </r>
  <r>
    <s v="TX501570"/>
    <x v="9"/>
    <x v="2"/>
    <n v="44.2"/>
    <n v="132.60000000000002"/>
    <x v="58"/>
    <d v="2025-03-04T00:00:00"/>
    <s v="M"/>
    <x v="2"/>
    <x v="2"/>
    <x v="0"/>
    <x v="3"/>
    <x v="5"/>
    <x v="8"/>
    <x v="1"/>
  </r>
  <r>
    <s v="TX501571"/>
    <x v="5"/>
    <x v="9"/>
    <n v="53.5"/>
    <n v="267.5"/>
    <x v="58"/>
    <d v="2025-03-02T00:00:00"/>
    <s v="M"/>
    <x v="0"/>
    <x v="0"/>
    <x v="0"/>
    <x v="37"/>
    <x v="1"/>
    <x v="8"/>
    <x v="1"/>
  </r>
  <r>
    <s v="TX501572"/>
    <x v="6"/>
    <x v="1"/>
    <n v="72.2"/>
    <n v="144.4"/>
    <x v="58"/>
    <d v="2025-03-01T00:00:00"/>
    <s v="M"/>
    <x v="0"/>
    <x v="2"/>
    <x v="0"/>
    <x v="25"/>
    <x v="3"/>
    <x v="8"/>
    <x v="1"/>
  </r>
  <r>
    <s v="TX501573"/>
    <x v="6"/>
    <x v="12"/>
    <n v="62.4"/>
    <n v="249.6"/>
    <x v="58"/>
    <d v="2025-03-03T00:00:00"/>
    <s v="F"/>
    <x v="0"/>
    <x v="1"/>
    <x v="0"/>
    <x v="23"/>
    <x v="2"/>
    <x v="8"/>
    <x v="2"/>
  </r>
  <r>
    <s v="TX501574"/>
    <x v="10"/>
    <x v="9"/>
    <n v="24.7"/>
    <n v="123.5"/>
    <x v="58"/>
    <d v="2025-03-01T00:00:00"/>
    <s v="F"/>
    <x v="0"/>
    <x v="0"/>
    <x v="0"/>
    <x v="6"/>
    <x v="3"/>
    <x v="8"/>
    <x v="2"/>
  </r>
  <r>
    <s v="TX501575"/>
    <x v="1"/>
    <x v="9"/>
    <n v="61.7"/>
    <n v="308.5"/>
    <x v="58"/>
    <d v="2025-03-02T00:00:00"/>
    <s v="F"/>
    <x v="2"/>
    <x v="0"/>
    <x v="0"/>
    <x v="8"/>
    <x v="1"/>
    <x v="8"/>
    <x v="2"/>
  </r>
  <r>
    <s v="TX501576"/>
    <x v="8"/>
    <x v="9"/>
    <n v="18.2"/>
    <n v="91"/>
    <x v="58"/>
    <d v="2025-03-02T00:00:00"/>
    <s v="F"/>
    <x v="3"/>
    <x v="0"/>
    <x v="0"/>
    <x v="8"/>
    <x v="1"/>
    <x v="8"/>
    <x v="2"/>
  </r>
  <r>
    <s v="TX501577"/>
    <x v="10"/>
    <x v="12"/>
    <n v="37.200000000000003"/>
    <n v="148.80000000000001"/>
    <x v="58"/>
    <d v="2025-03-06T00:00:00"/>
    <s v="F"/>
    <x v="0"/>
    <x v="0"/>
    <x v="0"/>
    <x v="8"/>
    <x v="4"/>
    <x v="8"/>
    <x v="2"/>
  </r>
  <r>
    <s v="TX501578"/>
    <x v="9"/>
    <x v="2"/>
    <n v="53.5"/>
    <n v="160.5"/>
    <x v="58"/>
    <d v="2025-03-02T00:00:00"/>
    <s v="F"/>
    <x v="1"/>
    <x v="2"/>
    <x v="0"/>
    <x v="9"/>
    <x v="1"/>
    <x v="8"/>
    <x v="2"/>
  </r>
  <r>
    <s v="TX501579"/>
    <x v="8"/>
    <x v="2"/>
    <n v="43.6"/>
    <n v="130.80000000000001"/>
    <x v="58"/>
    <d v="2025-02-28T00:00:00"/>
    <s v="F"/>
    <x v="0"/>
    <x v="0"/>
    <x v="0"/>
    <x v="9"/>
    <x v="7"/>
    <x v="8"/>
    <x v="2"/>
  </r>
  <r>
    <s v="TX501580"/>
    <x v="1"/>
    <x v="7"/>
    <n v="135"/>
    <n v="1350"/>
    <x v="58"/>
    <d v="2025-03-02T00:00:00"/>
    <s v="F"/>
    <x v="0"/>
    <x v="2"/>
    <x v="0"/>
    <x v="9"/>
    <x v="1"/>
    <x v="8"/>
    <x v="2"/>
  </r>
  <r>
    <s v="TX501581"/>
    <x v="8"/>
    <x v="9"/>
    <n v="38.5"/>
    <n v="192.5"/>
    <x v="58"/>
    <d v="2025-02-28T00:00:00"/>
    <s v="M"/>
    <x v="4"/>
    <x v="2"/>
    <x v="0"/>
    <x v="10"/>
    <x v="7"/>
    <x v="8"/>
    <x v="1"/>
  </r>
  <r>
    <s v="TX501582"/>
    <x v="9"/>
    <x v="1"/>
    <n v="24"/>
    <n v="48"/>
    <x v="58"/>
    <d v="2025-03-05T00:00:00"/>
    <s v="F"/>
    <x v="0"/>
    <x v="0"/>
    <x v="0"/>
    <x v="11"/>
    <x v="0"/>
    <x v="8"/>
    <x v="2"/>
  </r>
  <r>
    <s v="TX501583"/>
    <x v="4"/>
    <x v="2"/>
    <n v="28.2"/>
    <n v="84.6"/>
    <x v="58"/>
    <d v="2025-03-02T00:00:00"/>
    <s v="M"/>
    <x v="0"/>
    <x v="3"/>
    <x v="0"/>
    <x v="18"/>
    <x v="1"/>
    <x v="8"/>
    <x v="1"/>
  </r>
  <r>
    <s v="TX501584"/>
    <x v="7"/>
    <x v="2"/>
    <n v="37.4"/>
    <n v="112.19999999999999"/>
    <x v="58"/>
    <d v="2025-03-01T00:00:00"/>
    <s v="F"/>
    <x v="3"/>
    <x v="0"/>
    <x v="0"/>
    <x v="1"/>
    <x v="3"/>
    <x v="8"/>
    <x v="2"/>
  </r>
  <r>
    <s v="TX501585"/>
    <x v="6"/>
    <x v="2"/>
    <n v="53.5"/>
    <n v="160.5"/>
    <x v="58"/>
    <d v="2025-03-03T00:00:00"/>
    <s v=""/>
    <x v="4"/>
    <x v="4"/>
    <x v="0"/>
    <x v="1"/>
    <x v="2"/>
    <x v="8"/>
    <x v="0"/>
  </r>
  <r>
    <s v="TX501586"/>
    <x v="11"/>
    <x v="9"/>
    <n v="36.200000000000003"/>
    <n v="181"/>
    <x v="58"/>
    <d v="2025-03-01T00:00:00"/>
    <s v="M"/>
    <x v="1"/>
    <x v="2"/>
    <x v="0"/>
    <x v="33"/>
    <x v="3"/>
    <x v="8"/>
    <x v="1"/>
  </r>
  <r>
    <s v="TX501587"/>
    <x v="0"/>
    <x v="8"/>
    <n v="31.9"/>
    <n v="255.2"/>
    <x v="58"/>
    <d v="2025-03-01T00:00:00"/>
    <s v="F"/>
    <x v="4"/>
    <x v="0"/>
    <x v="0"/>
    <x v="3"/>
    <x v="3"/>
    <x v="8"/>
    <x v="2"/>
  </r>
  <r>
    <s v="TX501588"/>
    <x v="8"/>
    <x v="2"/>
    <n v="21.3"/>
    <n v="63.900000000000006"/>
    <x v="58"/>
    <d v="2025-03-01T00:00:00"/>
    <s v="M"/>
    <x v="0"/>
    <x v="2"/>
    <x v="0"/>
    <x v="3"/>
    <x v="3"/>
    <x v="8"/>
    <x v="1"/>
  </r>
  <r>
    <s v="TX501589"/>
    <x v="8"/>
    <x v="0"/>
    <n v="36.299999999999997"/>
    <n v="36.299999999999997"/>
    <x v="58"/>
    <d v="2025-03-02T00:00:00"/>
    <s v="O"/>
    <x v="4"/>
    <x v="0"/>
    <x v="0"/>
    <x v="3"/>
    <x v="1"/>
    <x v="8"/>
    <x v="3"/>
  </r>
  <r>
    <s v="TX501590"/>
    <x v="6"/>
    <x v="2"/>
    <n v="110.5"/>
    <n v="331.5"/>
    <x v="58"/>
    <d v="2025-03-01T00:00:00"/>
    <s v="F"/>
    <x v="0"/>
    <x v="3"/>
    <x v="0"/>
    <x v="3"/>
    <x v="3"/>
    <x v="8"/>
    <x v="2"/>
  </r>
  <r>
    <s v="TX501591"/>
    <x v="10"/>
    <x v="3"/>
    <n v="32.6"/>
    <n v="228.20000000000002"/>
    <x v="58"/>
    <d v="2025-03-02T00:00:00"/>
    <s v="F"/>
    <x v="0"/>
    <x v="1"/>
    <x v="0"/>
    <x v="3"/>
    <x v="1"/>
    <x v="8"/>
    <x v="2"/>
  </r>
  <r>
    <s v="TX501592"/>
    <x v="5"/>
    <x v="2"/>
    <n v="55.6"/>
    <n v="166.8"/>
    <x v="59"/>
    <d v="2025-03-14T00:00:00"/>
    <s v="F"/>
    <x v="0"/>
    <x v="0"/>
    <x v="0"/>
    <x v="3"/>
    <x v="10"/>
    <x v="8"/>
    <x v="2"/>
  </r>
  <r>
    <s v="TX501593"/>
    <x v="1"/>
    <x v="12"/>
    <n v="38"/>
    <n v="152"/>
    <x v="59"/>
    <d v="2025-03-02T00:00:00"/>
    <s v="F"/>
    <x v="3"/>
    <x v="2"/>
    <x v="0"/>
    <x v="5"/>
    <x v="3"/>
    <x v="8"/>
    <x v="2"/>
  </r>
  <r>
    <s v="TX501594"/>
    <x v="10"/>
    <x v="1"/>
    <n v="51.8"/>
    <n v="103.6"/>
    <x v="59"/>
    <d v="2025-03-07T00:00:00"/>
    <s v="M"/>
    <x v="1"/>
    <x v="4"/>
    <x v="0"/>
    <x v="6"/>
    <x v="4"/>
    <x v="8"/>
    <x v="1"/>
  </r>
  <r>
    <s v="TX501595"/>
    <x v="11"/>
    <x v="8"/>
    <n v="28.7"/>
    <n v="229.6"/>
    <x v="59"/>
    <d v="2025-03-06T00:00:00"/>
    <s v="F"/>
    <x v="0"/>
    <x v="0"/>
    <x v="0"/>
    <x v="6"/>
    <x v="0"/>
    <x v="8"/>
    <x v="2"/>
  </r>
  <r>
    <s v="TX501596"/>
    <x v="6"/>
    <x v="4"/>
    <n v="52.2"/>
    <n v="626.40000000000009"/>
    <x v="59"/>
    <d v="2025-03-01T00:00:00"/>
    <s v="M"/>
    <x v="0"/>
    <x v="1"/>
    <x v="0"/>
    <x v="6"/>
    <x v="7"/>
    <x v="8"/>
    <x v="1"/>
  </r>
  <r>
    <s v="TX501597"/>
    <x v="1"/>
    <x v="1"/>
    <n v="68.2"/>
    <n v="136.4"/>
    <x v="59"/>
    <d v="2025-03-02T00:00:00"/>
    <s v=""/>
    <x v="2"/>
    <x v="0"/>
    <x v="0"/>
    <x v="7"/>
    <x v="3"/>
    <x v="8"/>
    <x v="0"/>
  </r>
  <r>
    <s v="TX501598"/>
    <x v="0"/>
    <x v="2"/>
    <n v="34"/>
    <n v="102"/>
    <x v="59"/>
    <d v="2025-03-05T00:00:00"/>
    <s v="F"/>
    <x v="0"/>
    <x v="0"/>
    <x v="0"/>
    <x v="8"/>
    <x v="5"/>
    <x v="8"/>
    <x v="2"/>
  </r>
  <r>
    <s v="TX501599"/>
    <x v="8"/>
    <x v="2"/>
    <n v="19.100000000000001"/>
    <n v="57.300000000000004"/>
    <x v="59"/>
    <d v="2025-03-02T00:00:00"/>
    <s v="F"/>
    <x v="4"/>
    <x v="0"/>
    <x v="0"/>
    <x v="8"/>
    <x v="3"/>
    <x v="8"/>
    <x v="2"/>
  </r>
  <r>
    <s v="TX501600"/>
    <x v="5"/>
    <x v="8"/>
    <n v="34"/>
    <n v="272"/>
    <x v="59"/>
    <d v="2025-03-09T00:00:00"/>
    <s v="F"/>
    <x v="4"/>
    <x v="0"/>
    <x v="0"/>
    <x v="8"/>
    <x v="9"/>
    <x v="8"/>
    <x v="2"/>
  </r>
  <r>
    <s v="TX501601"/>
    <x v="12"/>
    <x v="1"/>
    <n v="109.1"/>
    <n v="218.2"/>
    <x v="59"/>
    <d v="2025-03-03T00:00:00"/>
    <s v="M"/>
    <x v="0"/>
    <x v="2"/>
    <x v="0"/>
    <x v="8"/>
    <x v="1"/>
    <x v="8"/>
    <x v="1"/>
  </r>
  <r>
    <s v="TX501602"/>
    <x v="18"/>
    <x v="1"/>
    <n v="64.8"/>
    <n v="129.6"/>
    <x v="59"/>
    <d v="2025-03-03T00:00:00"/>
    <s v="M"/>
    <x v="0"/>
    <x v="2"/>
    <x v="0"/>
    <x v="8"/>
    <x v="1"/>
    <x v="8"/>
    <x v="1"/>
  </r>
  <r>
    <s v="TX501603"/>
    <x v="10"/>
    <x v="1"/>
    <n v="21.1"/>
    <n v="42.2"/>
    <x v="59"/>
    <d v="2025-03-01T00:00:00"/>
    <s v="F"/>
    <x v="1"/>
    <x v="0"/>
    <x v="0"/>
    <x v="11"/>
    <x v="7"/>
    <x v="8"/>
    <x v="2"/>
  </r>
  <r>
    <s v="TX501604"/>
    <x v="0"/>
    <x v="8"/>
    <n v="21.3"/>
    <n v="170.4"/>
    <x v="59"/>
    <d v="2025-03-03T00:00:00"/>
    <s v="M"/>
    <x v="3"/>
    <x v="1"/>
    <x v="0"/>
    <x v="18"/>
    <x v="1"/>
    <x v="8"/>
    <x v="1"/>
  </r>
  <r>
    <s v="TX501605"/>
    <x v="9"/>
    <x v="2"/>
    <n v="24.3"/>
    <n v="72.900000000000006"/>
    <x v="59"/>
    <d v="2025-03-02T00:00:00"/>
    <s v="M"/>
    <x v="1"/>
    <x v="0"/>
    <x v="0"/>
    <x v="19"/>
    <x v="3"/>
    <x v="8"/>
    <x v="1"/>
  </r>
  <r>
    <s v="TX501606"/>
    <x v="8"/>
    <x v="0"/>
    <n v="43.3"/>
    <n v="43.3"/>
    <x v="59"/>
    <d v="2025-03-05T00:00:00"/>
    <s v="M"/>
    <x v="1"/>
    <x v="1"/>
    <x v="0"/>
    <x v="13"/>
    <x v="5"/>
    <x v="8"/>
    <x v="1"/>
  </r>
  <r>
    <s v="TX501607"/>
    <x v="9"/>
    <x v="2"/>
    <n v="41"/>
    <n v="123"/>
    <x v="59"/>
    <d v="2025-03-02T00:00:00"/>
    <s v="F"/>
    <x v="3"/>
    <x v="4"/>
    <x v="0"/>
    <x v="21"/>
    <x v="3"/>
    <x v="8"/>
    <x v="2"/>
  </r>
  <r>
    <s v="TX501608"/>
    <x v="16"/>
    <x v="2"/>
    <n v="54.1"/>
    <n v="162.30000000000001"/>
    <x v="59"/>
    <d v="2025-03-03T00:00:00"/>
    <s v="F"/>
    <x v="4"/>
    <x v="0"/>
    <x v="0"/>
    <x v="21"/>
    <x v="1"/>
    <x v="8"/>
    <x v="2"/>
  </r>
  <r>
    <s v="TX501609"/>
    <x v="11"/>
    <x v="1"/>
    <n v="39"/>
    <n v="78"/>
    <x v="59"/>
    <d v="2025-03-02T00:00:00"/>
    <s v="M"/>
    <x v="1"/>
    <x v="2"/>
    <x v="0"/>
    <x v="1"/>
    <x v="3"/>
    <x v="8"/>
    <x v="1"/>
  </r>
  <r>
    <s v="TX501610"/>
    <x v="8"/>
    <x v="1"/>
    <n v="40.299999999999997"/>
    <n v="80.599999999999994"/>
    <x v="59"/>
    <d v="2025-03-03T00:00:00"/>
    <s v="M"/>
    <x v="3"/>
    <x v="0"/>
    <x v="0"/>
    <x v="27"/>
    <x v="1"/>
    <x v="8"/>
    <x v="1"/>
  </r>
  <r>
    <s v="TX501611"/>
    <x v="8"/>
    <x v="2"/>
    <n v="24.1"/>
    <n v="72.300000000000011"/>
    <x v="59"/>
    <d v="2025-03-02T00:00:00"/>
    <s v="M"/>
    <x v="0"/>
    <x v="2"/>
    <x v="0"/>
    <x v="34"/>
    <x v="3"/>
    <x v="8"/>
    <x v="1"/>
  </r>
  <r>
    <s v="TX501612"/>
    <x v="6"/>
    <x v="9"/>
    <n v="52.3"/>
    <n v="261.5"/>
    <x v="59"/>
    <d v="2025-03-02T00:00:00"/>
    <s v="M"/>
    <x v="2"/>
    <x v="0"/>
    <x v="0"/>
    <x v="3"/>
    <x v="3"/>
    <x v="8"/>
    <x v="1"/>
  </r>
  <r>
    <s v="TX501613"/>
    <x v="12"/>
    <x v="12"/>
    <n v="68.8"/>
    <n v="275.2"/>
    <x v="59"/>
    <d v="2025-03-05T00:00:00"/>
    <s v="F"/>
    <x v="4"/>
    <x v="2"/>
    <x v="0"/>
    <x v="3"/>
    <x v="5"/>
    <x v="8"/>
    <x v="2"/>
  </r>
  <r>
    <s v="TX501614"/>
    <x v="2"/>
    <x v="1"/>
    <n v="128.80000000000001"/>
    <n v="257.60000000000002"/>
    <x v="60"/>
    <d v="2025-03-05T00:00:00"/>
    <s v="F"/>
    <x v="1"/>
    <x v="1"/>
    <x v="0"/>
    <x v="3"/>
    <x v="2"/>
    <x v="9"/>
    <x v="2"/>
  </r>
  <r>
    <s v="TX501615"/>
    <x v="15"/>
    <x v="9"/>
    <n v="48.2"/>
    <n v="241"/>
    <x v="60"/>
    <d v="2025-03-04T00:00:00"/>
    <s v="F"/>
    <x v="3"/>
    <x v="0"/>
    <x v="0"/>
    <x v="3"/>
    <x v="1"/>
    <x v="9"/>
    <x v="2"/>
  </r>
  <r>
    <s v="TX501616"/>
    <x v="10"/>
    <x v="0"/>
    <n v="39.700000000000003"/>
    <n v="39.700000000000003"/>
    <x v="60"/>
    <d v="2025-03-04T00:00:00"/>
    <s v="F"/>
    <x v="0"/>
    <x v="1"/>
    <x v="0"/>
    <x v="3"/>
    <x v="1"/>
    <x v="9"/>
    <x v="2"/>
  </r>
  <r>
    <s v="TX501617"/>
    <x v="9"/>
    <x v="0"/>
    <n v="59.7"/>
    <n v="59.7"/>
    <x v="60"/>
    <d v="2025-03-05T00:00:00"/>
    <s v="F"/>
    <x v="4"/>
    <x v="0"/>
    <x v="0"/>
    <x v="3"/>
    <x v="2"/>
    <x v="9"/>
    <x v="2"/>
  </r>
  <r>
    <s v="TX501618"/>
    <x v="6"/>
    <x v="0"/>
    <n v="48.3"/>
    <n v="48.3"/>
    <x v="60"/>
    <d v="2025-03-16T00:00:00"/>
    <s v="O"/>
    <x v="0"/>
    <x v="2"/>
    <x v="0"/>
    <x v="3"/>
    <x v="12"/>
    <x v="9"/>
    <x v="3"/>
  </r>
  <r>
    <s v="TX501619"/>
    <x v="8"/>
    <x v="2"/>
    <n v="45.5"/>
    <n v="136.5"/>
    <x v="60"/>
    <d v="2025-03-04T00:00:00"/>
    <s v="M"/>
    <x v="2"/>
    <x v="1"/>
    <x v="0"/>
    <x v="3"/>
    <x v="1"/>
    <x v="9"/>
    <x v="1"/>
  </r>
  <r>
    <s v="TX501620"/>
    <x v="9"/>
    <x v="6"/>
    <n v="51"/>
    <n v="1377"/>
    <x v="60"/>
    <d v="2025-03-02T00:00:00"/>
    <s v="F"/>
    <x v="2"/>
    <x v="0"/>
    <x v="0"/>
    <x v="3"/>
    <x v="7"/>
    <x v="9"/>
    <x v="2"/>
  </r>
  <r>
    <s v="TX501621"/>
    <x v="4"/>
    <x v="13"/>
    <n v="20.399999999999999"/>
    <n v="122.39999999999999"/>
    <x v="60"/>
    <d v="2025-03-03T00:00:00"/>
    <s v="M"/>
    <x v="2"/>
    <x v="0"/>
    <x v="0"/>
    <x v="3"/>
    <x v="3"/>
    <x v="9"/>
    <x v="1"/>
  </r>
  <r>
    <s v="TX501622"/>
    <x v="10"/>
    <x v="1"/>
    <n v="30.4"/>
    <n v="60.8"/>
    <x v="60"/>
    <d v="2025-03-04T00:00:00"/>
    <s v="M"/>
    <x v="2"/>
    <x v="0"/>
    <x v="0"/>
    <x v="3"/>
    <x v="1"/>
    <x v="9"/>
    <x v="1"/>
  </r>
  <r>
    <s v="TX501623"/>
    <x v="7"/>
    <x v="1"/>
    <n v="71.5"/>
    <n v="143"/>
    <x v="60"/>
    <d v="2025-03-06T00:00:00"/>
    <s v="F"/>
    <x v="0"/>
    <x v="0"/>
    <x v="0"/>
    <x v="3"/>
    <x v="5"/>
    <x v="9"/>
    <x v="2"/>
  </r>
  <r>
    <s v="TX501624"/>
    <x v="8"/>
    <x v="13"/>
    <n v="18"/>
    <n v="108"/>
    <x v="60"/>
    <d v="2025-03-03T00:00:00"/>
    <s v="O"/>
    <x v="1"/>
    <x v="2"/>
    <x v="0"/>
    <x v="6"/>
    <x v="3"/>
    <x v="9"/>
    <x v="3"/>
  </r>
  <r>
    <s v="TX501625"/>
    <x v="15"/>
    <x v="5"/>
    <n v="45.6"/>
    <n v="501.6"/>
    <x v="60"/>
    <d v="2025-03-03T00:00:00"/>
    <s v="O"/>
    <x v="1"/>
    <x v="1"/>
    <x v="0"/>
    <x v="7"/>
    <x v="3"/>
    <x v="9"/>
    <x v="3"/>
  </r>
  <r>
    <s v="TX501626"/>
    <x v="9"/>
    <x v="0"/>
    <n v="31.8"/>
    <n v="31.8"/>
    <x v="60"/>
    <d v="2025-03-06T00:00:00"/>
    <s v="F"/>
    <x v="0"/>
    <x v="2"/>
    <x v="0"/>
    <x v="7"/>
    <x v="5"/>
    <x v="9"/>
    <x v="2"/>
  </r>
  <r>
    <s v="TX501627"/>
    <x v="8"/>
    <x v="9"/>
    <n v="19.899999999999999"/>
    <n v="99.5"/>
    <x v="60"/>
    <d v="2025-03-03T00:00:00"/>
    <s v="F"/>
    <x v="1"/>
    <x v="0"/>
    <x v="0"/>
    <x v="7"/>
    <x v="3"/>
    <x v="9"/>
    <x v="2"/>
  </r>
  <r>
    <s v="TX501628"/>
    <x v="12"/>
    <x v="11"/>
    <n v="52.1"/>
    <n v="468.90000000000003"/>
    <x v="60"/>
    <d v="2025-03-04T00:00:00"/>
    <s v="M"/>
    <x v="0"/>
    <x v="0"/>
    <x v="0"/>
    <x v="8"/>
    <x v="1"/>
    <x v="9"/>
    <x v="1"/>
  </r>
  <r>
    <s v="TX501629"/>
    <x v="1"/>
    <x v="3"/>
    <n v="45.9"/>
    <n v="321.3"/>
    <x v="60"/>
    <d v="2025-03-03T00:00:00"/>
    <s v="M"/>
    <x v="0"/>
    <x v="1"/>
    <x v="0"/>
    <x v="8"/>
    <x v="3"/>
    <x v="9"/>
    <x v="1"/>
  </r>
  <r>
    <s v="TX501630"/>
    <x v="1"/>
    <x v="7"/>
    <n v="115.9"/>
    <n v="1159"/>
    <x v="60"/>
    <d v="2025-03-05T00:00:00"/>
    <s v="F"/>
    <x v="1"/>
    <x v="0"/>
    <x v="0"/>
    <x v="8"/>
    <x v="2"/>
    <x v="9"/>
    <x v="2"/>
  </r>
  <r>
    <s v="TX501631"/>
    <x v="6"/>
    <x v="11"/>
    <n v="86"/>
    <n v="774"/>
    <x v="60"/>
    <d v="2025-03-07T00:00:00"/>
    <s v="F"/>
    <x v="0"/>
    <x v="1"/>
    <x v="0"/>
    <x v="8"/>
    <x v="0"/>
    <x v="9"/>
    <x v="2"/>
  </r>
  <r>
    <s v="TX501632"/>
    <x v="7"/>
    <x v="3"/>
    <n v="73.599999999999994"/>
    <n v="515.19999999999993"/>
    <x v="60"/>
    <d v="2025-03-04T00:00:00"/>
    <s v="F"/>
    <x v="0"/>
    <x v="0"/>
    <x v="0"/>
    <x v="17"/>
    <x v="1"/>
    <x v="9"/>
    <x v="2"/>
  </r>
  <r>
    <s v="TX501633"/>
    <x v="10"/>
    <x v="2"/>
    <n v="26.7"/>
    <n v="80.099999999999994"/>
    <x v="60"/>
    <d v="2025-03-06T00:00:00"/>
    <s v="F"/>
    <x v="0"/>
    <x v="0"/>
    <x v="0"/>
    <x v="11"/>
    <x v="5"/>
    <x v="9"/>
    <x v="2"/>
  </r>
  <r>
    <s v="TX501634"/>
    <x v="8"/>
    <x v="3"/>
    <n v="46.6"/>
    <n v="326.2"/>
    <x v="60"/>
    <d v="2025-03-04T00:00:00"/>
    <s v=""/>
    <x v="3"/>
    <x v="0"/>
    <x v="0"/>
    <x v="11"/>
    <x v="1"/>
    <x v="9"/>
    <x v="0"/>
  </r>
  <r>
    <s v="TX501635"/>
    <x v="3"/>
    <x v="2"/>
    <n v="84.6"/>
    <n v="253.79999999999998"/>
    <x v="60"/>
    <d v="2025-03-04T00:00:00"/>
    <s v="M"/>
    <x v="4"/>
    <x v="0"/>
    <x v="0"/>
    <x v="11"/>
    <x v="1"/>
    <x v="9"/>
    <x v="1"/>
  </r>
  <r>
    <s v="TX501636"/>
    <x v="7"/>
    <x v="21"/>
    <n v="41.5"/>
    <n v="581"/>
    <x v="60"/>
    <d v="2025-03-16T00:00:00"/>
    <s v="M"/>
    <x v="1"/>
    <x v="0"/>
    <x v="0"/>
    <x v="53"/>
    <x v="12"/>
    <x v="9"/>
    <x v="1"/>
  </r>
  <r>
    <s v="TX501637"/>
    <x v="8"/>
    <x v="0"/>
    <n v="32.799999999999997"/>
    <n v="32.799999999999997"/>
    <x v="60"/>
    <d v="2025-03-05T00:00:00"/>
    <s v="M"/>
    <x v="0"/>
    <x v="2"/>
    <x v="0"/>
    <x v="30"/>
    <x v="2"/>
    <x v="9"/>
    <x v="1"/>
  </r>
  <r>
    <s v="TX501638"/>
    <x v="4"/>
    <x v="3"/>
    <n v="46.7"/>
    <n v="326.90000000000003"/>
    <x v="60"/>
    <d v="2025-03-04T00:00:00"/>
    <s v="O"/>
    <x v="0"/>
    <x v="2"/>
    <x v="0"/>
    <x v="18"/>
    <x v="1"/>
    <x v="9"/>
    <x v="3"/>
  </r>
  <r>
    <s v="TX501639"/>
    <x v="15"/>
    <x v="3"/>
    <n v="21"/>
    <n v="147"/>
    <x v="60"/>
    <d v="2025-03-05T00:00:00"/>
    <s v="M"/>
    <x v="2"/>
    <x v="1"/>
    <x v="0"/>
    <x v="21"/>
    <x v="2"/>
    <x v="9"/>
    <x v="1"/>
  </r>
  <r>
    <s v="TX501640"/>
    <x v="5"/>
    <x v="3"/>
    <n v="29.4"/>
    <n v="205.79999999999998"/>
    <x v="60"/>
    <d v="2025-03-02T00:00:00"/>
    <s v="M"/>
    <x v="3"/>
    <x v="2"/>
    <x v="0"/>
    <x v="21"/>
    <x v="7"/>
    <x v="9"/>
    <x v="1"/>
  </r>
  <r>
    <s v="TX501641"/>
    <x v="15"/>
    <x v="1"/>
    <n v="32.299999999999997"/>
    <n v="64.599999999999994"/>
    <x v="60"/>
    <d v="2025-03-03T00:00:00"/>
    <s v="M"/>
    <x v="0"/>
    <x v="2"/>
    <x v="0"/>
    <x v="21"/>
    <x v="3"/>
    <x v="9"/>
    <x v="1"/>
  </r>
  <r>
    <s v="TX501642"/>
    <x v="6"/>
    <x v="0"/>
    <n v="42.2"/>
    <n v="42.2"/>
    <x v="61"/>
    <d v="2025-03-05T00:00:00"/>
    <s v="F"/>
    <x v="0"/>
    <x v="2"/>
    <x v="0"/>
    <x v="21"/>
    <x v="1"/>
    <x v="9"/>
    <x v="2"/>
  </r>
  <r>
    <s v="TX501643"/>
    <x v="6"/>
    <x v="0"/>
    <n v="53.7"/>
    <n v="53.7"/>
    <x v="61"/>
    <d v="2025-03-05T00:00:00"/>
    <s v="M"/>
    <x v="1"/>
    <x v="1"/>
    <x v="0"/>
    <x v="1"/>
    <x v="1"/>
    <x v="9"/>
    <x v="1"/>
  </r>
  <r>
    <s v="TX501644"/>
    <x v="2"/>
    <x v="1"/>
    <n v="123.9"/>
    <n v="247.8"/>
    <x v="61"/>
    <d v="2025-03-06T00:00:00"/>
    <s v="M"/>
    <x v="2"/>
    <x v="0"/>
    <x v="0"/>
    <x v="1"/>
    <x v="2"/>
    <x v="9"/>
    <x v="1"/>
  </r>
  <r>
    <s v="TX501645"/>
    <x v="4"/>
    <x v="2"/>
    <n v="35.9"/>
    <n v="107.69999999999999"/>
    <x v="61"/>
    <d v="2025-03-05T00:00:00"/>
    <s v="M"/>
    <x v="2"/>
    <x v="0"/>
    <x v="0"/>
    <x v="22"/>
    <x v="1"/>
    <x v="9"/>
    <x v="1"/>
  </r>
  <r>
    <s v="TX501646"/>
    <x v="4"/>
    <x v="1"/>
    <n v="23.6"/>
    <n v="47.2"/>
    <x v="61"/>
    <d v="2025-03-06T00:00:00"/>
    <s v="M"/>
    <x v="0"/>
    <x v="2"/>
    <x v="0"/>
    <x v="3"/>
    <x v="2"/>
    <x v="9"/>
    <x v="1"/>
  </r>
  <r>
    <s v="TX501647"/>
    <x v="15"/>
    <x v="36"/>
    <n v="45.7"/>
    <n v="1599.5"/>
    <x v="61"/>
    <d v="2025-03-04T00:00:00"/>
    <s v="M"/>
    <x v="0"/>
    <x v="1"/>
    <x v="0"/>
    <x v="3"/>
    <x v="3"/>
    <x v="9"/>
    <x v="1"/>
  </r>
  <r>
    <s v="TX501648"/>
    <x v="6"/>
    <x v="5"/>
    <n v="118.3"/>
    <n v="1301.3"/>
    <x v="61"/>
    <d v="2025-03-05T00:00:00"/>
    <s v="M"/>
    <x v="4"/>
    <x v="2"/>
    <x v="0"/>
    <x v="3"/>
    <x v="1"/>
    <x v="9"/>
    <x v="1"/>
  </r>
  <r>
    <s v="TX501649"/>
    <x v="19"/>
    <x v="0"/>
    <n v="36"/>
    <n v="36"/>
    <x v="61"/>
    <d v="2025-03-04T00:00:00"/>
    <s v="F"/>
    <x v="0"/>
    <x v="1"/>
    <x v="0"/>
    <x v="3"/>
    <x v="3"/>
    <x v="9"/>
    <x v="2"/>
  </r>
  <r>
    <s v="TX501650"/>
    <x v="8"/>
    <x v="1"/>
    <n v="37.1"/>
    <n v="74.2"/>
    <x v="61"/>
    <d v="2025-03-06T00:00:00"/>
    <s v="F"/>
    <x v="2"/>
    <x v="0"/>
    <x v="0"/>
    <x v="3"/>
    <x v="2"/>
    <x v="9"/>
    <x v="2"/>
  </r>
  <r>
    <s v="TX501651"/>
    <x v="18"/>
    <x v="2"/>
    <n v="45.1"/>
    <n v="135.30000000000001"/>
    <x v="61"/>
    <d v="2025-03-05T00:00:00"/>
    <s v="F"/>
    <x v="1"/>
    <x v="2"/>
    <x v="0"/>
    <x v="3"/>
    <x v="1"/>
    <x v="9"/>
    <x v="2"/>
  </r>
  <r>
    <s v="TX501652"/>
    <x v="5"/>
    <x v="27"/>
    <n v="37.9"/>
    <n v="606.4"/>
    <x v="61"/>
    <d v="2025-03-04T00:00:00"/>
    <s v="F"/>
    <x v="3"/>
    <x v="2"/>
    <x v="0"/>
    <x v="3"/>
    <x v="3"/>
    <x v="9"/>
    <x v="2"/>
  </r>
  <r>
    <s v="TX501653"/>
    <x v="2"/>
    <x v="1"/>
    <n v="121.6"/>
    <n v="243.2"/>
    <x v="61"/>
    <d v="2025-03-06T00:00:00"/>
    <s v="M"/>
    <x v="3"/>
    <x v="2"/>
    <x v="0"/>
    <x v="3"/>
    <x v="2"/>
    <x v="9"/>
    <x v="1"/>
  </r>
  <r>
    <s v="TX501654"/>
    <x v="5"/>
    <x v="3"/>
    <n v="38.200000000000003"/>
    <n v="267.40000000000003"/>
    <x v="61"/>
    <d v="2025-03-06T00:00:00"/>
    <s v="F"/>
    <x v="0"/>
    <x v="0"/>
    <x v="0"/>
    <x v="3"/>
    <x v="2"/>
    <x v="9"/>
    <x v="2"/>
  </r>
  <r>
    <s v="TX501655"/>
    <x v="17"/>
    <x v="1"/>
    <n v="37.200000000000003"/>
    <n v="74.400000000000006"/>
    <x v="61"/>
    <d v="2025-03-06T00:00:00"/>
    <s v="M"/>
    <x v="4"/>
    <x v="0"/>
    <x v="0"/>
    <x v="3"/>
    <x v="2"/>
    <x v="9"/>
    <x v="1"/>
  </r>
  <r>
    <s v="TX501656"/>
    <x v="2"/>
    <x v="12"/>
    <n v="115.7"/>
    <n v="462.8"/>
    <x v="61"/>
    <d v="2025-03-06T00:00:00"/>
    <s v="F"/>
    <x v="1"/>
    <x v="0"/>
    <x v="0"/>
    <x v="3"/>
    <x v="2"/>
    <x v="9"/>
    <x v="2"/>
  </r>
  <r>
    <s v="TX501657"/>
    <x v="2"/>
    <x v="13"/>
    <n v="99.4"/>
    <n v="596.40000000000009"/>
    <x v="61"/>
    <d v="2025-03-06T00:00:00"/>
    <s v="M"/>
    <x v="0"/>
    <x v="2"/>
    <x v="0"/>
    <x v="3"/>
    <x v="2"/>
    <x v="9"/>
    <x v="1"/>
  </r>
  <r>
    <s v="TX501658"/>
    <x v="11"/>
    <x v="0"/>
    <n v="38.700000000000003"/>
    <n v="38.700000000000003"/>
    <x v="61"/>
    <d v="2025-03-04T00:00:00"/>
    <s v="F"/>
    <x v="2"/>
    <x v="0"/>
    <x v="0"/>
    <x v="25"/>
    <x v="3"/>
    <x v="9"/>
    <x v="2"/>
  </r>
  <r>
    <s v="TX501659"/>
    <x v="4"/>
    <x v="1"/>
    <n v="35.5"/>
    <n v="71"/>
    <x v="61"/>
    <d v="2025-03-06T00:00:00"/>
    <s v="M"/>
    <x v="0"/>
    <x v="2"/>
    <x v="0"/>
    <x v="25"/>
    <x v="2"/>
    <x v="9"/>
    <x v="1"/>
  </r>
  <r>
    <s v="TX501660"/>
    <x v="2"/>
    <x v="12"/>
    <n v="93.3"/>
    <n v="373.2"/>
    <x v="61"/>
    <d v="2025-03-06T00:00:00"/>
    <s v="F"/>
    <x v="0"/>
    <x v="2"/>
    <x v="0"/>
    <x v="6"/>
    <x v="2"/>
    <x v="9"/>
    <x v="2"/>
  </r>
  <r>
    <s v="TX501661"/>
    <x v="16"/>
    <x v="0"/>
    <n v="31.4"/>
    <n v="31.4"/>
    <x v="61"/>
    <d v="2025-03-08T00:00:00"/>
    <s v="F"/>
    <x v="2"/>
    <x v="2"/>
    <x v="0"/>
    <x v="6"/>
    <x v="0"/>
    <x v="9"/>
    <x v="2"/>
  </r>
  <r>
    <s v="TX501662"/>
    <x v="1"/>
    <x v="0"/>
    <n v="85.9"/>
    <n v="85.9"/>
    <x v="61"/>
    <d v="2025-03-06T00:00:00"/>
    <s v="M"/>
    <x v="1"/>
    <x v="0"/>
    <x v="0"/>
    <x v="6"/>
    <x v="2"/>
    <x v="9"/>
    <x v="1"/>
  </r>
  <r>
    <s v="TX501663"/>
    <x v="6"/>
    <x v="8"/>
    <n v="41.7"/>
    <n v="333.6"/>
    <x v="61"/>
    <d v="2025-03-11T00:00:00"/>
    <s v="M"/>
    <x v="0"/>
    <x v="2"/>
    <x v="0"/>
    <x v="7"/>
    <x v="9"/>
    <x v="9"/>
    <x v="1"/>
  </r>
  <r>
    <s v="TX501664"/>
    <x v="8"/>
    <x v="12"/>
    <n v="31.5"/>
    <n v="126"/>
    <x v="61"/>
    <d v="2025-03-04T00:00:00"/>
    <s v="F"/>
    <x v="0"/>
    <x v="0"/>
    <x v="0"/>
    <x v="7"/>
    <x v="3"/>
    <x v="9"/>
    <x v="2"/>
  </r>
  <r>
    <s v="TX501665"/>
    <x v="8"/>
    <x v="1"/>
    <n v="36.299999999999997"/>
    <n v="72.599999999999994"/>
    <x v="61"/>
    <d v="2025-03-04T00:00:00"/>
    <s v="F"/>
    <x v="0"/>
    <x v="4"/>
    <x v="0"/>
    <x v="8"/>
    <x v="3"/>
    <x v="9"/>
    <x v="2"/>
  </r>
  <r>
    <s v="TX501666"/>
    <x v="8"/>
    <x v="2"/>
    <n v="33.4"/>
    <n v="100.19999999999999"/>
    <x v="61"/>
    <d v="2025-03-04T00:00:00"/>
    <s v="F"/>
    <x v="3"/>
    <x v="0"/>
    <x v="0"/>
    <x v="17"/>
    <x v="3"/>
    <x v="9"/>
    <x v="2"/>
  </r>
  <r>
    <s v="TX501667"/>
    <x v="2"/>
    <x v="2"/>
    <n v="65.2"/>
    <n v="195.60000000000002"/>
    <x v="61"/>
    <d v="2025-03-04T00:00:00"/>
    <s v="F"/>
    <x v="2"/>
    <x v="2"/>
    <x v="0"/>
    <x v="26"/>
    <x v="3"/>
    <x v="9"/>
    <x v="2"/>
  </r>
  <r>
    <s v="TX501668"/>
    <x v="8"/>
    <x v="11"/>
    <n v="65.5"/>
    <n v="589.5"/>
    <x v="61"/>
    <d v="2025-03-06T00:00:00"/>
    <s v="F"/>
    <x v="0"/>
    <x v="2"/>
    <x v="0"/>
    <x v="9"/>
    <x v="2"/>
    <x v="9"/>
    <x v="2"/>
  </r>
  <r>
    <s v="TX501669"/>
    <x v="6"/>
    <x v="2"/>
    <n v="52.8"/>
    <n v="158.39999999999998"/>
    <x v="61"/>
    <d v="2025-03-06T00:00:00"/>
    <s v="M"/>
    <x v="2"/>
    <x v="0"/>
    <x v="0"/>
    <x v="9"/>
    <x v="2"/>
    <x v="9"/>
    <x v="1"/>
  </r>
  <r>
    <s v="TX501670"/>
    <x v="9"/>
    <x v="9"/>
    <n v="24"/>
    <n v="120"/>
    <x v="61"/>
    <d v="2025-03-07T00:00:00"/>
    <s v="M"/>
    <x v="0"/>
    <x v="1"/>
    <x v="0"/>
    <x v="11"/>
    <x v="5"/>
    <x v="9"/>
    <x v="1"/>
  </r>
  <r>
    <s v="TX501671"/>
    <x v="3"/>
    <x v="2"/>
    <n v="51.2"/>
    <n v="153.60000000000002"/>
    <x v="61"/>
    <d v="2025-03-04T00:00:00"/>
    <s v="F"/>
    <x v="0"/>
    <x v="0"/>
    <x v="0"/>
    <x v="32"/>
    <x v="3"/>
    <x v="9"/>
    <x v="2"/>
  </r>
  <r>
    <s v="TX501672"/>
    <x v="5"/>
    <x v="2"/>
    <n v="28.3"/>
    <n v="84.9"/>
    <x v="61"/>
    <d v="2025-03-05T00:00:00"/>
    <s v="M"/>
    <x v="4"/>
    <x v="0"/>
    <x v="0"/>
    <x v="19"/>
    <x v="1"/>
    <x v="9"/>
    <x v="1"/>
  </r>
  <r>
    <s v="TX501673"/>
    <x v="6"/>
    <x v="2"/>
    <n v="42.3"/>
    <n v="126.89999999999999"/>
    <x v="61"/>
    <d v="2025-03-03T00:00:00"/>
    <s v="F"/>
    <x v="2"/>
    <x v="1"/>
    <x v="0"/>
    <x v="19"/>
    <x v="7"/>
    <x v="9"/>
    <x v="2"/>
  </r>
  <r>
    <s v="TX501674"/>
    <x v="2"/>
    <x v="8"/>
    <n v="163.30000000000001"/>
    <n v="1306.4000000000001"/>
    <x v="62"/>
    <d v="2025-03-05T00:00:00"/>
    <s v="F"/>
    <x v="1"/>
    <x v="0"/>
    <x v="0"/>
    <x v="13"/>
    <x v="3"/>
    <x v="9"/>
    <x v="2"/>
  </r>
  <r>
    <s v="TX501675"/>
    <x v="6"/>
    <x v="3"/>
    <n v="47.3"/>
    <n v="331.09999999999997"/>
    <x v="62"/>
    <d v="2025-03-07T00:00:00"/>
    <s v="F"/>
    <x v="4"/>
    <x v="1"/>
    <x v="0"/>
    <x v="21"/>
    <x v="2"/>
    <x v="9"/>
    <x v="2"/>
  </r>
  <r>
    <s v="TX501676"/>
    <x v="8"/>
    <x v="27"/>
    <n v="27.3"/>
    <n v="436.8"/>
    <x v="62"/>
    <d v="2025-03-05T00:00:00"/>
    <s v="F"/>
    <x v="2"/>
    <x v="0"/>
    <x v="0"/>
    <x v="21"/>
    <x v="3"/>
    <x v="9"/>
    <x v="2"/>
  </r>
  <r>
    <s v="TX501677"/>
    <x v="10"/>
    <x v="13"/>
    <n v="34.9"/>
    <n v="209.39999999999998"/>
    <x v="62"/>
    <d v="2025-03-15T00:00:00"/>
    <s v="F"/>
    <x v="0"/>
    <x v="0"/>
    <x v="0"/>
    <x v="21"/>
    <x v="11"/>
    <x v="9"/>
    <x v="2"/>
  </r>
  <r>
    <s v="TX501678"/>
    <x v="6"/>
    <x v="1"/>
    <n v="53.9"/>
    <n v="107.8"/>
    <x v="62"/>
    <d v="2025-03-07T00:00:00"/>
    <s v="O"/>
    <x v="0"/>
    <x v="4"/>
    <x v="0"/>
    <x v="1"/>
    <x v="2"/>
    <x v="9"/>
    <x v="3"/>
  </r>
  <r>
    <s v="TX501679"/>
    <x v="2"/>
    <x v="1"/>
    <n v="87.2"/>
    <n v="174.4"/>
    <x v="62"/>
    <d v="2025-03-05T00:00:00"/>
    <s v="F"/>
    <x v="0"/>
    <x v="1"/>
    <x v="0"/>
    <x v="1"/>
    <x v="3"/>
    <x v="9"/>
    <x v="2"/>
  </r>
  <r>
    <s v="TX501680"/>
    <x v="15"/>
    <x v="0"/>
    <n v="58.8"/>
    <n v="58.8"/>
    <x v="62"/>
    <d v="2025-03-06T00:00:00"/>
    <s v="F"/>
    <x v="2"/>
    <x v="0"/>
    <x v="0"/>
    <x v="44"/>
    <x v="1"/>
    <x v="9"/>
    <x v="2"/>
  </r>
  <r>
    <s v="TX501681"/>
    <x v="2"/>
    <x v="3"/>
    <n v="125.5"/>
    <n v="878.5"/>
    <x v="62"/>
    <d v="2025-03-05T00:00:00"/>
    <s v="M"/>
    <x v="2"/>
    <x v="4"/>
    <x v="0"/>
    <x v="22"/>
    <x v="3"/>
    <x v="9"/>
    <x v="1"/>
  </r>
  <r>
    <s v="TX501682"/>
    <x v="1"/>
    <x v="12"/>
    <n v="124.6"/>
    <n v="498.4"/>
    <x v="62"/>
    <d v="2025-03-06T00:00:00"/>
    <s v="F"/>
    <x v="0"/>
    <x v="1"/>
    <x v="0"/>
    <x v="22"/>
    <x v="1"/>
    <x v="9"/>
    <x v="2"/>
  </r>
  <r>
    <s v="TX501683"/>
    <x v="1"/>
    <x v="3"/>
    <n v="39.9"/>
    <n v="279.3"/>
    <x v="62"/>
    <d v="2025-03-05T00:00:00"/>
    <s v="M"/>
    <x v="2"/>
    <x v="1"/>
    <x v="0"/>
    <x v="3"/>
    <x v="3"/>
    <x v="9"/>
    <x v="1"/>
  </r>
  <r>
    <s v="TX501684"/>
    <x v="6"/>
    <x v="0"/>
    <n v="94.6"/>
    <n v="94.6"/>
    <x v="62"/>
    <d v="2025-03-18T00:00:00"/>
    <s v="F"/>
    <x v="0"/>
    <x v="1"/>
    <x v="0"/>
    <x v="3"/>
    <x v="12"/>
    <x v="9"/>
    <x v="2"/>
  </r>
  <r>
    <s v="TX501685"/>
    <x v="2"/>
    <x v="1"/>
    <n v="149.6"/>
    <n v="299.2"/>
    <x v="62"/>
    <d v="2025-03-05T00:00:00"/>
    <s v="F"/>
    <x v="0"/>
    <x v="0"/>
    <x v="0"/>
    <x v="3"/>
    <x v="3"/>
    <x v="9"/>
    <x v="2"/>
  </r>
  <r>
    <s v="TX501686"/>
    <x v="8"/>
    <x v="0"/>
    <n v="52.2"/>
    <n v="52.2"/>
    <x v="62"/>
    <d v="2025-03-05T00:00:00"/>
    <s v=""/>
    <x v="1"/>
    <x v="0"/>
    <x v="0"/>
    <x v="3"/>
    <x v="3"/>
    <x v="9"/>
    <x v="0"/>
  </r>
  <r>
    <s v="TX501687"/>
    <x v="6"/>
    <x v="1"/>
    <n v="96.5"/>
    <n v="193"/>
    <x v="62"/>
    <d v="2025-03-05T00:00:00"/>
    <s v="F"/>
    <x v="1"/>
    <x v="1"/>
    <x v="0"/>
    <x v="3"/>
    <x v="3"/>
    <x v="9"/>
    <x v="2"/>
  </r>
  <r>
    <s v="TX501688"/>
    <x v="8"/>
    <x v="1"/>
    <n v="79.8"/>
    <n v="159.6"/>
    <x v="62"/>
    <d v="2025-03-06T00:00:00"/>
    <s v="F"/>
    <x v="0"/>
    <x v="1"/>
    <x v="0"/>
    <x v="3"/>
    <x v="1"/>
    <x v="9"/>
    <x v="2"/>
  </r>
  <r>
    <s v="TX501689"/>
    <x v="8"/>
    <x v="2"/>
    <n v="35.6"/>
    <n v="106.80000000000001"/>
    <x v="62"/>
    <d v="2025-03-05T00:00:00"/>
    <s v="F"/>
    <x v="2"/>
    <x v="0"/>
    <x v="0"/>
    <x v="3"/>
    <x v="3"/>
    <x v="9"/>
    <x v="2"/>
  </r>
  <r>
    <s v="TX501690"/>
    <x v="16"/>
    <x v="0"/>
    <n v="50.2"/>
    <n v="50.2"/>
    <x v="62"/>
    <d v="2025-03-05T00:00:00"/>
    <s v="F"/>
    <x v="1"/>
    <x v="2"/>
    <x v="0"/>
    <x v="3"/>
    <x v="3"/>
    <x v="9"/>
    <x v="2"/>
  </r>
  <r>
    <s v="TX501691"/>
    <x v="1"/>
    <x v="2"/>
    <n v="55.3"/>
    <n v="165.89999999999998"/>
    <x v="62"/>
    <d v="2025-03-07T00:00:00"/>
    <s v="F"/>
    <x v="0"/>
    <x v="4"/>
    <x v="0"/>
    <x v="40"/>
    <x v="2"/>
    <x v="9"/>
    <x v="2"/>
  </r>
  <r>
    <s v="TX501692"/>
    <x v="6"/>
    <x v="3"/>
    <n v="104.5"/>
    <n v="731.5"/>
    <x v="62"/>
    <d v="2025-03-08T00:00:00"/>
    <s v="F"/>
    <x v="1"/>
    <x v="0"/>
    <x v="0"/>
    <x v="7"/>
    <x v="5"/>
    <x v="9"/>
    <x v="2"/>
  </r>
  <r>
    <s v="TX501693"/>
    <x v="6"/>
    <x v="12"/>
    <n v="66.5"/>
    <n v="266"/>
    <x v="62"/>
    <d v="2025-03-06T00:00:00"/>
    <s v="M"/>
    <x v="1"/>
    <x v="0"/>
    <x v="0"/>
    <x v="7"/>
    <x v="1"/>
    <x v="9"/>
    <x v="1"/>
  </r>
  <r>
    <s v="TX501694"/>
    <x v="10"/>
    <x v="8"/>
    <n v="38.299999999999997"/>
    <n v="306.39999999999998"/>
    <x v="62"/>
    <d v="2025-03-05T00:00:00"/>
    <s v="F"/>
    <x v="0"/>
    <x v="0"/>
    <x v="0"/>
    <x v="7"/>
    <x v="3"/>
    <x v="9"/>
    <x v="2"/>
  </r>
  <r>
    <s v="TX501695"/>
    <x v="6"/>
    <x v="2"/>
    <n v="63.8"/>
    <n v="191.39999999999998"/>
    <x v="62"/>
    <d v="2025-03-07T00:00:00"/>
    <s v="F"/>
    <x v="1"/>
    <x v="0"/>
    <x v="0"/>
    <x v="8"/>
    <x v="2"/>
    <x v="9"/>
    <x v="2"/>
  </r>
  <r>
    <s v="TX501696"/>
    <x v="15"/>
    <x v="0"/>
    <n v="21.4"/>
    <n v="21.4"/>
    <x v="62"/>
    <d v="2025-03-04T00:00:00"/>
    <s v="M"/>
    <x v="4"/>
    <x v="0"/>
    <x v="0"/>
    <x v="8"/>
    <x v="7"/>
    <x v="9"/>
    <x v="1"/>
  </r>
  <r>
    <s v="TX501697"/>
    <x v="8"/>
    <x v="12"/>
    <n v="44.1"/>
    <n v="176.4"/>
    <x v="62"/>
    <d v="2025-03-06T00:00:00"/>
    <s v="F"/>
    <x v="2"/>
    <x v="0"/>
    <x v="0"/>
    <x v="8"/>
    <x v="1"/>
    <x v="9"/>
    <x v="2"/>
  </r>
  <r>
    <s v="TX501698"/>
    <x v="5"/>
    <x v="8"/>
    <n v="57.6"/>
    <n v="460.8"/>
    <x v="62"/>
    <d v="2025-03-06T00:00:00"/>
    <s v="M"/>
    <x v="1"/>
    <x v="2"/>
    <x v="0"/>
    <x v="8"/>
    <x v="1"/>
    <x v="9"/>
    <x v="1"/>
  </r>
  <r>
    <s v="TX501699"/>
    <x v="9"/>
    <x v="1"/>
    <n v="20.3"/>
    <n v="40.6"/>
    <x v="62"/>
    <d v="2025-03-10T00:00:00"/>
    <s v="F"/>
    <x v="3"/>
    <x v="0"/>
    <x v="0"/>
    <x v="8"/>
    <x v="4"/>
    <x v="9"/>
    <x v="2"/>
  </r>
  <r>
    <s v="TX501700"/>
    <x v="8"/>
    <x v="0"/>
    <n v="22.9"/>
    <n v="22.9"/>
    <x v="62"/>
    <d v="2025-03-06T00:00:00"/>
    <s v="F"/>
    <x v="2"/>
    <x v="2"/>
    <x v="0"/>
    <x v="8"/>
    <x v="1"/>
    <x v="9"/>
    <x v="2"/>
  </r>
  <r>
    <s v="TX501701"/>
    <x v="6"/>
    <x v="12"/>
    <n v="105.9"/>
    <n v="423.6"/>
    <x v="62"/>
    <d v="2025-03-05T00:00:00"/>
    <s v="F"/>
    <x v="1"/>
    <x v="2"/>
    <x v="0"/>
    <x v="17"/>
    <x v="3"/>
    <x v="9"/>
    <x v="2"/>
  </r>
  <r>
    <s v="TX501702"/>
    <x v="1"/>
    <x v="11"/>
    <n v="37.4"/>
    <n v="336.59999999999997"/>
    <x v="62"/>
    <d v="2025-03-08T00:00:00"/>
    <s v="M"/>
    <x v="1"/>
    <x v="0"/>
    <x v="0"/>
    <x v="11"/>
    <x v="5"/>
    <x v="9"/>
    <x v="1"/>
  </r>
  <r>
    <s v="TX501703"/>
    <x v="18"/>
    <x v="1"/>
    <n v="79"/>
    <n v="158"/>
    <x v="62"/>
    <d v="2025-03-05T00:00:00"/>
    <s v="M"/>
    <x v="2"/>
    <x v="0"/>
    <x v="0"/>
    <x v="28"/>
    <x v="3"/>
    <x v="9"/>
    <x v="1"/>
  </r>
  <r>
    <s v="TX501704"/>
    <x v="0"/>
    <x v="2"/>
    <n v="19.3"/>
    <n v="57.900000000000006"/>
    <x v="62"/>
    <d v="2025-03-05T00:00:00"/>
    <s v="F"/>
    <x v="4"/>
    <x v="0"/>
    <x v="0"/>
    <x v="21"/>
    <x v="3"/>
    <x v="9"/>
    <x v="2"/>
  </r>
  <r>
    <s v="TX501705"/>
    <x v="0"/>
    <x v="0"/>
    <n v="24"/>
    <n v="24"/>
    <x v="62"/>
    <d v="2025-03-05T00:00:00"/>
    <s v="F"/>
    <x v="1"/>
    <x v="0"/>
    <x v="0"/>
    <x v="1"/>
    <x v="3"/>
    <x v="9"/>
    <x v="2"/>
  </r>
  <r>
    <s v="TX501706"/>
    <x v="6"/>
    <x v="9"/>
    <n v="71.3"/>
    <n v="356.5"/>
    <x v="62"/>
    <d v="2025-03-07T00:00:00"/>
    <s v="F"/>
    <x v="2"/>
    <x v="0"/>
    <x v="0"/>
    <x v="2"/>
    <x v="2"/>
    <x v="9"/>
    <x v="2"/>
  </r>
  <r>
    <s v="TX501707"/>
    <x v="5"/>
    <x v="1"/>
    <n v="166.2"/>
    <n v="332.4"/>
    <x v="62"/>
    <d v="2025-03-05T00:00:00"/>
    <s v="M"/>
    <x v="0"/>
    <x v="2"/>
    <x v="0"/>
    <x v="50"/>
    <x v="3"/>
    <x v="9"/>
    <x v="1"/>
  </r>
  <r>
    <s v="TX501708"/>
    <x v="6"/>
    <x v="0"/>
    <n v="81"/>
    <n v="81"/>
    <x v="62"/>
    <d v="2025-03-05T00:00:00"/>
    <s v="F"/>
    <x v="2"/>
    <x v="1"/>
    <x v="0"/>
    <x v="3"/>
    <x v="3"/>
    <x v="9"/>
    <x v="2"/>
  </r>
  <r>
    <s v="TX501709"/>
    <x v="10"/>
    <x v="13"/>
    <n v="38.5"/>
    <n v="231"/>
    <x v="62"/>
    <d v="2025-03-08T00:00:00"/>
    <s v="F"/>
    <x v="0"/>
    <x v="0"/>
    <x v="0"/>
    <x v="3"/>
    <x v="5"/>
    <x v="9"/>
    <x v="2"/>
  </r>
  <r>
    <s v="TX501710"/>
    <x v="6"/>
    <x v="0"/>
    <n v="86.1"/>
    <n v="86.1"/>
    <x v="62"/>
    <d v="2025-03-06T00:00:00"/>
    <s v="F"/>
    <x v="3"/>
    <x v="0"/>
    <x v="0"/>
    <x v="3"/>
    <x v="1"/>
    <x v="9"/>
    <x v="2"/>
  </r>
  <r>
    <s v="TX501711"/>
    <x v="2"/>
    <x v="9"/>
    <n v="51"/>
    <n v="255"/>
    <x v="62"/>
    <d v="2025-03-05T00:00:00"/>
    <s v="M"/>
    <x v="0"/>
    <x v="1"/>
    <x v="0"/>
    <x v="3"/>
    <x v="3"/>
    <x v="9"/>
    <x v="1"/>
  </r>
  <r>
    <s v="TX501712"/>
    <x v="3"/>
    <x v="9"/>
    <n v="115.4"/>
    <n v="577"/>
    <x v="62"/>
    <d v="2025-03-05T00:00:00"/>
    <s v="M"/>
    <x v="0"/>
    <x v="0"/>
    <x v="0"/>
    <x v="3"/>
    <x v="3"/>
    <x v="9"/>
    <x v="1"/>
  </r>
  <r>
    <s v="TX501713"/>
    <x v="6"/>
    <x v="12"/>
    <n v="176.5"/>
    <n v="706"/>
    <x v="62"/>
    <d v="2025-03-05T00:00:00"/>
    <s v="F"/>
    <x v="2"/>
    <x v="2"/>
    <x v="0"/>
    <x v="3"/>
    <x v="3"/>
    <x v="9"/>
    <x v="2"/>
  </r>
  <r>
    <s v="TX501714"/>
    <x v="7"/>
    <x v="2"/>
    <n v="48.9"/>
    <n v="146.69999999999999"/>
    <x v="62"/>
    <d v="2025-03-05T00:00:00"/>
    <s v="M"/>
    <x v="4"/>
    <x v="0"/>
    <x v="0"/>
    <x v="3"/>
    <x v="3"/>
    <x v="9"/>
    <x v="1"/>
  </r>
  <r>
    <s v="TX501715"/>
    <x v="8"/>
    <x v="2"/>
    <n v="18.100000000000001"/>
    <n v="54.300000000000004"/>
    <x v="62"/>
    <d v="2025-03-11T00:00:00"/>
    <s v="F"/>
    <x v="1"/>
    <x v="2"/>
    <x v="0"/>
    <x v="29"/>
    <x v="6"/>
    <x v="9"/>
    <x v="2"/>
  </r>
  <r>
    <s v="TX501716"/>
    <x v="2"/>
    <x v="1"/>
    <n v="118.5"/>
    <n v="237"/>
    <x v="62"/>
    <d v="2025-03-07T00:00:00"/>
    <s v="M"/>
    <x v="1"/>
    <x v="2"/>
    <x v="0"/>
    <x v="16"/>
    <x v="2"/>
    <x v="9"/>
    <x v="1"/>
  </r>
  <r>
    <s v="TX501717"/>
    <x v="15"/>
    <x v="3"/>
    <n v="59.1"/>
    <n v="413.7"/>
    <x v="62"/>
    <d v="2025-03-05T00:00:00"/>
    <s v="F"/>
    <x v="3"/>
    <x v="0"/>
    <x v="0"/>
    <x v="25"/>
    <x v="3"/>
    <x v="9"/>
    <x v="2"/>
  </r>
  <r>
    <s v="TX501718"/>
    <x v="4"/>
    <x v="0"/>
    <n v="21.2"/>
    <n v="21.2"/>
    <x v="62"/>
    <d v="2025-03-05T00:00:00"/>
    <s v="F"/>
    <x v="0"/>
    <x v="1"/>
    <x v="0"/>
    <x v="6"/>
    <x v="3"/>
    <x v="9"/>
    <x v="2"/>
  </r>
  <r>
    <s v="TX501719"/>
    <x v="6"/>
    <x v="1"/>
    <n v="68.8"/>
    <n v="137.6"/>
    <x v="62"/>
    <d v="2025-03-09T00:00:00"/>
    <s v="F"/>
    <x v="3"/>
    <x v="2"/>
    <x v="0"/>
    <x v="6"/>
    <x v="0"/>
    <x v="9"/>
    <x v="2"/>
  </r>
  <r>
    <s v="TX501720"/>
    <x v="6"/>
    <x v="1"/>
    <n v="65.400000000000006"/>
    <n v="130.80000000000001"/>
    <x v="62"/>
    <d v="2025-03-08T00:00:00"/>
    <s v="F"/>
    <x v="0"/>
    <x v="0"/>
    <x v="0"/>
    <x v="6"/>
    <x v="5"/>
    <x v="9"/>
    <x v="2"/>
  </r>
  <r>
    <s v="TX501721"/>
    <x v="12"/>
    <x v="9"/>
    <n v="66.3"/>
    <n v="331.5"/>
    <x v="63"/>
    <d v="2025-03-08T00:00:00"/>
    <s v="F"/>
    <x v="4"/>
    <x v="0"/>
    <x v="0"/>
    <x v="6"/>
    <x v="2"/>
    <x v="9"/>
    <x v="2"/>
  </r>
  <r>
    <s v="TX501722"/>
    <x v="6"/>
    <x v="2"/>
    <n v="97.5"/>
    <n v="292.5"/>
    <x v="63"/>
    <d v="2025-03-05T00:00:00"/>
    <s v="M"/>
    <x v="3"/>
    <x v="0"/>
    <x v="0"/>
    <x v="8"/>
    <x v="7"/>
    <x v="9"/>
    <x v="1"/>
  </r>
  <r>
    <s v="TX501723"/>
    <x v="1"/>
    <x v="1"/>
    <n v="44"/>
    <n v="88"/>
    <x v="63"/>
    <d v="2025-03-08T00:00:00"/>
    <s v="F"/>
    <x v="1"/>
    <x v="2"/>
    <x v="0"/>
    <x v="8"/>
    <x v="2"/>
    <x v="9"/>
    <x v="2"/>
  </r>
  <r>
    <s v="TX501724"/>
    <x v="0"/>
    <x v="0"/>
    <n v="21.9"/>
    <n v="21.9"/>
    <x v="63"/>
    <d v="2025-03-06T00:00:00"/>
    <s v="M"/>
    <x v="0"/>
    <x v="0"/>
    <x v="0"/>
    <x v="8"/>
    <x v="3"/>
    <x v="9"/>
    <x v="1"/>
  </r>
  <r>
    <s v="TX501725"/>
    <x v="4"/>
    <x v="3"/>
    <n v="21.5"/>
    <n v="150.5"/>
    <x v="63"/>
    <d v="2025-03-07T00:00:00"/>
    <s v="F"/>
    <x v="1"/>
    <x v="2"/>
    <x v="0"/>
    <x v="9"/>
    <x v="1"/>
    <x v="9"/>
    <x v="2"/>
  </r>
  <r>
    <s v="TX501726"/>
    <x v="12"/>
    <x v="13"/>
    <n v="133"/>
    <n v="798"/>
    <x v="63"/>
    <d v="2025-03-06T00:00:00"/>
    <s v="O"/>
    <x v="0"/>
    <x v="2"/>
    <x v="0"/>
    <x v="10"/>
    <x v="3"/>
    <x v="9"/>
    <x v="3"/>
  </r>
  <r>
    <s v="TX501727"/>
    <x v="8"/>
    <x v="1"/>
    <n v="47.7"/>
    <n v="95.4"/>
    <x v="63"/>
    <d v="2025-03-09T00:00:00"/>
    <s v="M"/>
    <x v="0"/>
    <x v="2"/>
    <x v="0"/>
    <x v="10"/>
    <x v="5"/>
    <x v="9"/>
    <x v="1"/>
  </r>
  <r>
    <s v="TX501728"/>
    <x v="16"/>
    <x v="2"/>
    <n v="58.1"/>
    <n v="174.3"/>
    <x v="63"/>
    <d v="2025-03-06T00:00:00"/>
    <s v="F"/>
    <x v="0"/>
    <x v="0"/>
    <x v="0"/>
    <x v="11"/>
    <x v="3"/>
    <x v="9"/>
    <x v="2"/>
  </r>
  <r>
    <s v="TX501729"/>
    <x v="12"/>
    <x v="12"/>
    <n v="66.599999999999994"/>
    <n v="266.39999999999998"/>
    <x v="63"/>
    <d v="2025-03-06T00:00:00"/>
    <s v=""/>
    <x v="0"/>
    <x v="0"/>
    <x v="0"/>
    <x v="11"/>
    <x v="3"/>
    <x v="9"/>
    <x v="0"/>
  </r>
  <r>
    <s v="TX501730"/>
    <x v="9"/>
    <x v="0"/>
    <n v="24.1"/>
    <n v="24.1"/>
    <x v="63"/>
    <d v="2025-03-08T00:00:00"/>
    <s v="M"/>
    <x v="2"/>
    <x v="1"/>
    <x v="0"/>
    <x v="19"/>
    <x v="2"/>
    <x v="9"/>
    <x v="1"/>
  </r>
  <r>
    <s v="TX501731"/>
    <x v="10"/>
    <x v="9"/>
    <n v="51.5"/>
    <n v="257.5"/>
    <x v="63"/>
    <d v="2025-03-10T00:00:00"/>
    <s v="F"/>
    <x v="0"/>
    <x v="0"/>
    <x v="0"/>
    <x v="13"/>
    <x v="0"/>
    <x v="9"/>
    <x v="2"/>
  </r>
  <r>
    <s v="TX501732"/>
    <x v="0"/>
    <x v="5"/>
    <n v="25.8"/>
    <n v="283.8"/>
    <x v="63"/>
    <d v="2025-03-09T00:00:00"/>
    <s v="F"/>
    <x v="3"/>
    <x v="4"/>
    <x v="0"/>
    <x v="21"/>
    <x v="5"/>
    <x v="9"/>
    <x v="2"/>
  </r>
  <r>
    <s v="TX501733"/>
    <x v="9"/>
    <x v="12"/>
    <n v="47.7"/>
    <n v="190.8"/>
    <x v="63"/>
    <d v="2025-03-05T00:00:00"/>
    <s v="F"/>
    <x v="0"/>
    <x v="1"/>
    <x v="0"/>
    <x v="21"/>
    <x v="7"/>
    <x v="9"/>
    <x v="2"/>
  </r>
  <r>
    <s v="TX501734"/>
    <x v="7"/>
    <x v="9"/>
    <n v="73.599999999999994"/>
    <n v="368"/>
    <x v="63"/>
    <d v="2025-03-09T00:00:00"/>
    <s v="M"/>
    <x v="1"/>
    <x v="0"/>
    <x v="0"/>
    <x v="21"/>
    <x v="5"/>
    <x v="9"/>
    <x v="1"/>
  </r>
  <r>
    <s v="TX501735"/>
    <x v="5"/>
    <x v="3"/>
    <n v="91.2"/>
    <n v="638.4"/>
    <x v="63"/>
    <d v="2025-03-06T00:00:00"/>
    <s v="M"/>
    <x v="1"/>
    <x v="2"/>
    <x v="0"/>
    <x v="21"/>
    <x v="3"/>
    <x v="9"/>
    <x v="1"/>
  </r>
  <r>
    <s v="TX501736"/>
    <x v="1"/>
    <x v="8"/>
    <n v="36.200000000000003"/>
    <n v="289.60000000000002"/>
    <x v="63"/>
    <d v="2025-03-05T00:00:00"/>
    <s v="M"/>
    <x v="2"/>
    <x v="2"/>
    <x v="0"/>
    <x v="1"/>
    <x v="7"/>
    <x v="9"/>
    <x v="1"/>
  </r>
  <r>
    <s v="TX501737"/>
    <x v="9"/>
    <x v="8"/>
    <n v="98"/>
    <n v="784"/>
    <x v="63"/>
    <d v="2025-03-09T00:00:00"/>
    <s v="F"/>
    <x v="2"/>
    <x v="0"/>
    <x v="0"/>
    <x v="2"/>
    <x v="5"/>
    <x v="9"/>
    <x v="2"/>
  </r>
  <r>
    <s v="TX501738"/>
    <x v="1"/>
    <x v="8"/>
    <n v="43.6"/>
    <n v="348.8"/>
    <x v="63"/>
    <d v="2025-03-06T00:00:00"/>
    <s v="F"/>
    <x v="2"/>
    <x v="0"/>
    <x v="0"/>
    <x v="22"/>
    <x v="3"/>
    <x v="9"/>
    <x v="2"/>
  </r>
  <r>
    <s v="TX501739"/>
    <x v="8"/>
    <x v="7"/>
    <n v="37.799999999999997"/>
    <n v="378"/>
    <x v="63"/>
    <d v="2025-03-05T00:00:00"/>
    <s v="O"/>
    <x v="0"/>
    <x v="0"/>
    <x v="0"/>
    <x v="50"/>
    <x v="7"/>
    <x v="9"/>
    <x v="3"/>
  </r>
  <r>
    <s v="TX501740"/>
    <x v="17"/>
    <x v="9"/>
    <n v="63.7"/>
    <n v="318.5"/>
    <x v="63"/>
    <d v="2025-03-08T00:00:00"/>
    <s v="F"/>
    <x v="2"/>
    <x v="1"/>
    <x v="0"/>
    <x v="3"/>
    <x v="2"/>
    <x v="9"/>
    <x v="2"/>
  </r>
  <r>
    <s v="TX501741"/>
    <x v="5"/>
    <x v="11"/>
    <n v="62.9"/>
    <n v="566.1"/>
    <x v="63"/>
    <d v="2025-03-10T00:00:00"/>
    <s v="M"/>
    <x v="3"/>
    <x v="2"/>
    <x v="0"/>
    <x v="3"/>
    <x v="0"/>
    <x v="9"/>
    <x v="1"/>
  </r>
  <r>
    <s v="TX501742"/>
    <x v="6"/>
    <x v="3"/>
    <n v="61.7"/>
    <n v="431.90000000000003"/>
    <x v="63"/>
    <d v="2025-03-08T00:00:00"/>
    <s v="F"/>
    <x v="2"/>
    <x v="2"/>
    <x v="0"/>
    <x v="3"/>
    <x v="2"/>
    <x v="9"/>
    <x v="2"/>
  </r>
  <r>
    <s v="TX501743"/>
    <x v="18"/>
    <x v="21"/>
    <n v="36.5"/>
    <n v="511"/>
    <x v="63"/>
    <d v="2025-03-06T00:00:00"/>
    <s v="M"/>
    <x v="0"/>
    <x v="2"/>
    <x v="0"/>
    <x v="3"/>
    <x v="3"/>
    <x v="9"/>
    <x v="1"/>
  </r>
  <r>
    <s v="TX501744"/>
    <x v="11"/>
    <x v="2"/>
    <n v="98.6"/>
    <n v="295.79999999999995"/>
    <x v="63"/>
    <d v="2025-03-08T00:00:00"/>
    <s v="O"/>
    <x v="0"/>
    <x v="4"/>
    <x v="0"/>
    <x v="3"/>
    <x v="2"/>
    <x v="9"/>
    <x v="3"/>
  </r>
  <r>
    <s v="TX501745"/>
    <x v="8"/>
    <x v="1"/>
    <n v="19.2"/>
    <n v="38.4"/>
    <x v="63"/>
    <d v="2025-03-15T00:00:00"/>
    <s v="M"/>
    <x v="0"/>
    <x v="0"/>
    <x v="0"/>
    <x v="3"/>
    <x v="14"/>
    <x v="9"/>
    <x v="1"/>
  </r>
  <r>
    <s v="TX501746"/>
    <x v="3"/>
    <x v="13"/>
    <n v="55.6"/>
    <n v="333.6"/>
    <x v="63"/>
    <d v="2025-03-09T00:00:00"/>
    <s v="F"/>
    <x v="0"/>
    <x v="2"/>
    <x v="0"/>
    <x v="3"/>
    <x v="5"/>
    <x v="9"/>
    <x v="2"/>
  </r>
  <r>
    <s v="TX501747"/>
    <x v="5"/>
    <x v="13"/>
    <n v="56.4"/>
    <n v="338.4"/>
    <x v="63"/>
    <d v="2025-03-06T00:00:00"/>
    <s v="F"/>
    <x v="1"/>
    <x v="0"/>
    <x v="0"/>
    <x v="3"/>
    <x v="3"/>
    <x v="9"/>
    <x v="2"/>
  </r>
  <r>
    <s v="TX501748"/>
    <x v="4"/>
    <x v="8"/>
    <n v="43.1"/>
    <n v="344.8"/>
    <x v="63"/>
    <d v="2025-03-09T00:00:00"/>
    <s v="F"/>
    <x v="4"/>
    <x v="0"/>
    <x v="0"/>
    <x v="3"/>
    <x v="5"/>
    <x v="9"/>
    <x v="2"/>
  </r>
  <r>
    <s v="TX501749"/>
    <x v="1"/>
    <x v="1"/>
    <n v="77.3"/>
    <n v="154.6"/>
    <x v="63"/>
    <d v="2025-03-07T00:00:00"/>
    <s v="M"/>
    <x v="0"/>
    <x v="0"/>
    <x v="0"/>
    <x v="6"/>
    <x v="1"/>
    <x v="9"/>
    <x v="1"/>
  </r>
  <r>
    <s v="TX501750"/>
    <x v="9"/>
    <x v="8"/>
    <n v="38.299999999999997"/>
    <n v="306.39999999999998"/>
    <x v="63"/>
    <d v="2025-03-06T00:00:00"/>
    <s v="M"/>
    <x v="0"/>
    <x v="0"/>
    <x v="0"/>
    <x v="7"/>
    <x v="3"/>
    <x v="9"/>
    <x v="1"/>
  </r>
  <r>
    <s v="TX501751"/>
    <x v="0"/>
    <x v="3"/>
    <n v="16.8"/>
    <n v="117.60000000000001"/>
    <x v="63"/>
    <d v="2025-03-08T00:00:00"/>
    <s v="M"/>
    <x v="2"/>
    <x v="1"/>
    <x v="0"/>
    <x v="8"/>
    <x v="2"/>
    <x v="9"/>
    <x v="1"/>
  </r>
  <r>
    <s v="TX501752"/>
    <x v="2"/>
    <x v="2"/>
    <n v="63.2"/>
    <n v="189.60000000000002"/>
    <x v="63"/>
    <d v="2025-03-06T00:00:00"/>
    <s v="F"/>
    <x v="0"/>
    <x v="2"/>
    <x v="0"/>
    <x v="8"/>
    <x v="3"/>
    <x v="9"/>
    <x v="2"/>
  </r>
  <r>
    <s v="TX501753"/>
    <x v="14"/>
    <x v="44"/>
    <n v="39.700000000000003"/>
    <n v="913.1"/>
    <x v="63"/>
    <d v="2025-03-06T00:00:00"/>
    <s v="M"/>
    <x v="0"/>
    <x v="0"/>
    <x v="0"/>
    <x v="8"/>
    <x v="3"/>
    <x v="9"/>
    <x v="1"/>
  </r>
  <r>
    <s v="TX501754"/>
    <x v="10"/>
    <x v="2"/>
    <n v="45.8"/>
    <n v="137.39999999999998"/>
    <x v="63"/>
    <d v="2025-03-06T00:00:00"/>
    <s v="F"/>
    <x v="1"/>
    <x v="2"/>
    <x v="0"/>
    <x v="8"/>
    <x v="3"/>
    <x v="9"/>
    <x v="2"/>
  </r>
  <r>
    <s v="TX501755"/>
    <x v="0"/>
    <x v="13"/>
    <n v="12.4"/>
    <n v="74.400000000000006"/>
    <x v="63"/>
    <d v="2025-03-08T00:00:00"/>
    <s v="M"/>
    <x v="0"/>
    <x v="0"/>
    <x v="0"/>
    <x v="8"/>
    <x v="2"/>
    <x v="9"/>
    <x v="1"/>
  </r>
  <r>
    <s v="TX501756"/>
    <x v="14"/>
    <x v="2"/>
    <n v="50.8"/>
    <n v="152.39999999999998"/>
    <x v="64"/>
    <d v="2025-03-06T00:00:00"/>
    <s v="F"/>
    <x v="4"/>
    <x v="0"/>
    <x v="0"/>
    <x v="17"/>
    <x v="7"/>
    <x v="9"/>
    <x v="2"/>
  </r>
  <r>
    <s v="TX501757"/>
    <x v="9"/>
    <x v="0"/>
    <n v="76"/>
    <n v="76"/>
    <x v="64"/>
    <d v="2025-03-10T00:00:00"/>
    <s v="O"/>
    <x v="2"/>
    <x v="2"/>
    <x v="0"/>
    <x v="17"/>
    <x v="5"/>
    <x v="9"/>
    <x v="3"/>
  </r>
  <r>
    <s v="TX501758"/>
    <x v="1"/>
    <x v="1"/>
    <n v="51.9"/>
    <n v="103.8"/>
    <x v="64"/>
    <d v="2025-03-07T00:00:00"/>
    <s v="M"/>
    <x v="1"/>
    <x v="2"/>
    <x v="0"/>
    <x v="26"/>
    <x v="3"/>
    <x v="9"/>
    <x v="1"/>
  </r>
  <r>
    <s v="TX501759"/>
    <x v="2"/>
    <x v="1"/>
    <n v="93.4"/>
    <n v="186.8"/>
    <x v="64"/>
    <d v="2025-03-13T00:00:00"/>
    <s v="M"/>
    <x v="0"/>
    <x v="3"/>
    <x v="0"/>
    <x v="11"/>
    <x v="6"/>
    <x v="9"/>
    <x v="1"/>
  </r>
  <r>
    <s v="TX501760"/>
    <x v="7"/>
    <x v="13"/>
    <n v="30.8"/>
    <n v="184.8"/>
    <x v="64"/>
    <d v="2025-03-09T00:00:00"/>
    <s v="F"/>
    <x v="1"/>
    <x v="0"/>
    <x v="0"/>
    <x v="11"/>
    <x v="2"/>
    <x v="9"/>
    <x v="2"/>
  </r>
  <r>
    <s v="TX501761"/>
    <x v="2"/>
    <x v="0"/>
    <n v="143.19999999999999"/>
    <n v="143.19999999999999"/>
    <x v="64"/>
    <d v="2025-03-09T00:00:00"/>
    <s v="M"/>
    <x v="2"/>
    <x v="0"/>
    <x v="0"/>
    <x v="11"/>
    <x v="2"/>
    <x v="9"/>
    <x v="1"/>
  </r>
  <r>
    <s v="TX501762"/>
    <x v="6"/>
    <x v="5"/>
    <n v="40.4"/>
    <n v="444.4"/>
    <x v="64"/>
    <d v="2025-03-08T00:00:00"/>
    <s v="M"/>
    <x v="2"/>
    <x v="2"/>
    <x v="0"/>
    <x v="18"/>
    <x v="1"/>
    <x v="9"/>
    <x v="1"/>
  </r>
  <r>
    <s v="TX501763"/>
    <x v="2"/>
    <x v="10"/>
    <n v="131.5"/>
    <n v="2498.5"/>
    <x v="64"/>
    <d v="2025-03-08T00:00:00"/>
    <s v="M"/>
    <x v="1"/>
    <x v="1"/>
    <x v="0"/>
    <x v="18"/>
    <x v="1"/>
    <x v="9"/>
    <x v="1"/>
  </r>
  <r>
    <s v="TX501764"/>
    <x v="18"/>
    <x v="3"/>
    <n v="61.6"/>
    <n v="431.2"/>
    <x v="64"/>
    <d v="2025-03-07T00:00:00"/>
    <s v="M"/>
    <x v="2"/>
    <x v="0"/>
    <x v="0"/>
    <x v="21"/>
    <x v="3"/>
    <x v="9"/>
    <x v="1"/>
  </r>
  <r>
    <s v="TX501765"/>
    <x v="9"/>
    <x v="9"/>
    <n v="32.700000000000003"/>
    <n v="163.5"/>
    <x v="64"/>
    <d v="2025-03-08T00:00:00"/>
    <s v="M"/>
    <x v="2"/>
    <x v="0"/>
    <x v="0"/>
    <x v="1"/>
    <x v="1"/>
    <x v="9"/>
    <x v="1"/>
  </r>
  <r>
    <s v="TX501766"/>
    <x v="0"/>
    <x v="7"/>
    <n v="13.7"/>
    <n v="137"/>
    <x v="64"/>
    <d v="2025-03-07T00:00:00"/>
    <s v="M"/>
    <x v="0"/>
    <x v="2"/>
    <x v="0"/>
    <x v="3"/>
    <x v="3"/>
    <x v="9"/>
    <x v="1"/>
  </r>
  <r>
    <s v="TX501767"/>
    <x v="0"/>
    <x v="12"/>
    <n v="32.1"/>
    <n v="128.4"/>
    <x v="64"/>
    <d v="2025-03-07T00:00:00"/>
    <s v="M"/>
    <x v="4"/>
    <x v="1"/>
    <x v="0"/>
    <x v="3"/>
    <x v="3"/>
    <x v="9"/>
    <x v="1"/>
  </r>
  <r>
    <s v="TX501768"/>
    <x v="14"/>
    <x v="8"/>
    <n v="12"/>
    <n v="96"/>
    <x v="64"/>
    <d v="2025-03-07T00:00:00"/>
    <s v="M"/>
    <x v="1"/>
    <x v="0"/>
    <x v="0"/>
    <x v="24"/>
    <x v="3"/>
    <x v="9"/>
    <x v="1"/>
  </r>
  <r>
    <s v="TX501769"/>
    <x v="12"/>
    <x v="0"/>
    <n v="64.3"/>
    <n v="64.3"/>
    <x v="64"/>
    <d v="2025-03-08T00:00:00"/>
    <s v="F"/>
    <x v="2"/>
    <x v="2"/>
    <x v="0"/>
    <x v="6"/>
    <x v="1"/>
    <x v="9"/>
    <x v="2"/>
  </r>
  <r>
    <s v="TX501770"/>
    <x v="1"/>
    <x v="2"/>
    <n v="58.2"/>
    <n v="174.60000000000002"/>
    <x v="64"/>
    <d v="2025-03-08T00:00:00"/>
    <s v="F"/>
    <x v="1"/>
    <x v="2"/>
    <x v="0"/>
    <x v="6"/>
    <x v="1"/>
    <x v="9"/>
    <x v="2"/>
  </r>
  <r>
    <s v="TX501771"/>
    <x v="6"/>
    <x v="12"/>
    <n v="59.2"/>
    <n v="236.8"/>
    <x v="64"/>
    <d v="2025-03-06T00:00:00"/>
    <s v="M"/>
    <x v="1"/>
    <x v="2"/>
    <x v="0"/>
    <x v="6"/>
    <x v="7"/>
    <x v="9"/>
    <x v="1"/>
  </r>
  <r>
    <s v="TX501772"/>
    <x v="10"/>
    <x v="5"/>
    <n v="35.6"/>
    <n v="391.6"/>
    <x v="64"/>
    <d v="2025-03-13T00:00:00"/>
    <s v="M"/>
    <x v="0"/>
    <x v="2"/>
    <x v="0"/>
    <x v="8"/>
    <x v="6"/>
    <x v="9"/>
    <x v="1"/>
  </r>
  <r>
    <s v="TX501773"/>
    <x v="16"/>
    <x v="8"/>
    <n v="37"/>
    <n v="296"/>
    <x v="64"/>
    <d v="2025-03-10T00:00:00"/>
    <s v="F"/>
    <x v="2"/>
    <x v="1"/>
    <x v="0"/>
    <x v="8"/>
    <x v="5"/>
    <x v="9"/>
    <x v="2"/>
  </r>
  <r>
    <s v="TX501774"/>
    <x v="1"/>
    <x v="15"/>
    <n v="80.8"/>
    <n v="1050.3999999999999"/>
    <x v="64"/>
    <d v="2025-03-08T00:00:00"/>
    <s v="F"/>
    <x v="0"/>
    <x v="0"/>
    <x v="0"/>
    <x v="8"/>
    <x v="1"/>
    <x v="9"/>
    <x v="2"/>
  </r>
  <r>
    <s v="TX501775"/>
    <x v="8"/>
    <x v="1"/>
    <n v="63.2"/>
    <n v="126.4"/>
    <x v="64"/>
    <d v="2025-03-07T00:00:00"/>
    <s v="M"/>
    <x v="0"/>
    <x v="1"/>
    <x v="0"/>
    <x v="8"/>
    <x v="3"/>
    <x v="9"/>
    <x v="1"/>
  </r>
  <r>
    <s v="TX501776"/>
    <x v="3"/>
    <x v="1"/>
    <n v="40.799999999999997"/>
    <n v="81.599999999999994"/>
    <x v="64"/>
    <d v="2025-03-08T00:00:00"/>
    <s v="M"/>
    <x v="0"/>
    <x v="1"/>
    <x v="0"/>
    <x v="17"/>
    <x v="1"/>
    <x v="9"/>
    <x v="1"/>
  </r>
  <r>
    <s v="TX501777"/>
    <x v="13"/>
    <x v="13"/>
    <n v="25.7"/>
    <n v="154.19999999999999"/>
    <x v="64"/>
    <d v="2025-03-08T00:00:00"/>
    <s v="M"/>
    <x v="4"/>
    <x v="0"/>
    <x v="0"/>
    <x v="18"/>
    <x v="1"/>
    <x v="9"/>
    <x v="1"/>
  </r>
  <r>
    <s v="TX501778"/>
    <x v="16"/>
    <x v="1"/>
    <n v="49.9"/>
    <n v="99.8"/>
    <x v="64"/>
    <d v="2025-03-09T00:00:00"/>
    <s v="M"/>
    <x v="0"/>
    <x v="0"/>
    <x v="0"/>
    <x v="20"/>
    <x v="2"/>
    <x v="9"/>
    <x v="1"/>
  </r>
  <r>
    <s v="TX501779"/>
    <x v="8"/>
    <x v="1"/>
    <n v="20.2"/>
    <n v="40.4"/>
    <x v="64"/>
    <d v="2025-03-08T00:00:00"/>
    <s v="F"/>
    <x v="3"/>
    <x v="0"/>
    <x v="0"/>
    <x v="21"/>
    <x v="1"/>
    <x v="9"/>
    <x v="2"/>
  </r>
  <r>
    <s v="TX501780"/>
    <x v="6"/>
    <x v="2"/>
    <n v="48.4"/>
    <n v="145.19999999999999"/>
    <x v="64"/>
    <d v="2025-03-11T00:00:00"/>
    <s v="F"/>
    <x v="0"/>
    <x v="2"/>
    <x v="0"/>
    <x v="21"/>
    <x v="0"/>
    <x v="9"/>
    <x v="2"/>
  </r>
  <r>
    <s v="TX501781"/>
    <x v="6"/>
    <x v="1"/>
    <n v="81"/>
    <n v="162"/>
    <x v="64"/>
    <d v="2025-03-07T00:00:00"/>
    <s v="F"/>
    <x v="1"/>
    <x v="2"/>
    <x v="0"/>
    <x v="21"/>
    <x v="3"/>
    <x v="9"/>
    <x v="2"/>
  </r>
  <r>
    <s v="TX501782"/>
    <x v="8"/>
    <x v="13"/>
    <n v="19.899999999999999"/>
    <n v="119.39999999999999"/>
    <x v="64"/>
    <d v="2025-03-09T00:00:00"/>
    <s v="F"/>
    <x v="0"/>
    <x v="1"/>
    <x v="0"/>
    <x v="22"/>
    <x v="2"/>
    <x v="9"/>
    <x v="2"/>
  </r>
  <r>
    <s v="TX501783"/>
    <x v="4"/>
    <x v="12"/>
    <n v="32.200000000000003"/>
    <n v="128.80000000000001"/>
    <x v="64"/>
    <d v="2025-03-16T00:00:00"/>
    <s v="M"/>
    <x v="0"/>
    <x v="0"/>
    <x v="0"/>
    <x v="22"/>
    <x v="14"/>
    <x v="9"/>
    <x v="1"/>
  </r>
  <r>
    <s v="TX501784"/>
    <x v="5"/>
    <x v="2"/>
    <n v="76.8"/>
    <n v="230.39999999999998"/>
    <x v="64"/>
    <d v="2025-03-07T00:00:00"/>
    <s v="F"/>
    <x v="0"/>
    <x v="1"/>
    <x v="0"/>
    <x v="3"/>
    <x v="3"/>
    <x v="9"/>
    <x v="2"/>
  </r>
  <r>
    <s v="TX501785"/>
    <x v="6"/>
    <x v="1"/>
    <n v="41.9"/>
    <n v="83.8"/>
    <x v="64"/>
    <d v="2025-03-08T00:00:00"/>
    <s v="F"/>
    <x v="0"/>
    <x v="0"/>
    <x v="0"/>
    <x v="3"/>
    <x v="1"/>
    <x v="9"/>
    <x v="2"/>
  </r>
  <r>
    <s v="TX501786"/>
    <x v="0"/>
    <x v="3"/>
    <n v="34"/>
    <n v="238"/>
    <x v="64"/>
    <d v="2025-03-08T00:00:00"/>
    <s v="F"/>
    <x v="1"/>
    <x v="2"/>
    <x v="0"/>
    <x v="3"/>
    <x v="1"/>
    <x v="9"/>
    <x v="2"/>
  </r>
  <r>
    <s v="TX501787"/>
    <x v="7"/>
    <x v="3"/>
    <n v="61.3"/>
    <n v="429.09999999999997"/>
    <x v="64"/>
    <d v="2025-03-06T00:00:00"/>
    <s v="F"/>
    <x v="4"/>
    <x v="2"/>
    <x v="0"/>
    <x v="3"/>
    <x v="7"/>
    <x v="9"/>
    <x v="2"/>
  </r>
  <r>
    <s v="TX501788"/>
    <x v="9"/>
    <x v="0"/>
    <n v="54.7"/>
    <n v="54.7"/>
    <x v="65"/>
    <d v="2025-03-08T00:00:00"/>
    <s v="M"/>
    <x v="0"/>
    <x v="1"/>
    <x v="0"/>
    <x v="3"/>
    <x v="3"/>
    <x v="9"/>
    <x v="1"/>
  </r>
  <r>
    <s v="TX501789"/>
    <x v="6"/>
    <x v="7"/>
    <n v="84.7"/>
    <n v="847"/>
    <x v="65"/>
    <d v="2025-03-11T00:00:00"/>
    <s v="F"/>
    <x v="0"/>
    <x v="0"/>
    <x v="0"/>
    <x v="3"/>
    <x v="5"/>
    <x v="9"/>
    <x v="2"/>
  </r>
  <r>
    <s v="TX501790"/>
    <x v="1"/>
    <x v="2"/>
    <n v="93.4"/>
    <n v="280.20000000000005"/>
    <x v="65"/>
    <d v="2025-03-11T00:00:00"/>
    <s v="F"/>
    <x v="3"/>
    <x v="0"/>
    <x v="0"/>
    <x v="3"/>
    <x v="5"/>
    <x v="9"/>
    <x v="2"/>
  </r>
  <r>
    <s v="TX501791"/>
    <x v="8"/>
    <x v="9"/>
    <n v="27"/>
    <n v="135"/>
    <x v="65"/>
    <d v="2025-03-10T00:00:00"/>
    <s v="M"/>
    <x v="0"/>
    <x v="1"/>
    <x v="0"/>
    <x v="3"/>
    <x v="2"/>
    <x v="9"/>
    <x v="1"/>
  </r>
  <r>
    <s v="TX501792"/>
    <x v="0"/>
    <x v="12"/>
    <n v="10.9"/>
    <n v="43.6"/>
    <x v="65"/>
    <d v="2025-03-08T00:00:00"/>
    <s v="M"/>
    <x v="2"/>
    <x v="0"/>
    <x v="0"/>
    <x v="3"/>
    <x v="3"/>
    <x v="9"/>
    <x v="1"/>
  </r>
  <r>
    <s v="TX501793"/>
    <x v="16"/>
    <x v="2"/>
    <n v="48"/>
    <n v="144"/>
    <x v="65"/>
    <d v="2025-03-12T00:00:00"/>
    <s v="F"/>
    <x v="4"/>
    <x v="0"/>
    <x v="0"/>
    <x v="3"/>
    <x v="0"/>
    <x v="9"/>
    <x v="2"/>
  </r>
  <r>
    <s v="TX501794"/>
    <x v="5"/>
    <x v="1"/>
    <n v="67.900000000000006"/>
    <n v="135.80000000000001"/>
    <x v="65"/>
    <d v="2025-03-08T00:00:00"/>
    <s v="M"/>
    <x v="0"/>
    <x v="2"/>
    <x v="0"/>
    <x v="23"/>
    <x v="3"/>
    <x v="9"/>
    <x v="1"/>
  </r>
  <r>
    <s v="TX501795"/>
    <x v="4"/>
    <x v="2"/>
    <n v="36"/>
    <n v="108"/>
    <x v="65"/>
    <d v="2025-03-08T00:00:00"/>
    <s v="M"/>
    <x v="1"/>
    <x v="0"/>
    <x v="0"/>
    <x v="6"/>
    <x v="3"/>
    <x v="9"/>
    <x v="1"/>
  </r>
  <r>
    <s v="TX501796"/>
    <x v="2"/>
    <x v="0"/>
    <n v="128.80000000000001"/>
    <n v="128.80000000000001"/>
    <x v="65"/>
    <d v="2025-03-08T00:00:00"/>
    <s v="M"/>
    <x v="4"/>
    <x v="2"/>
    <x v="0"/>
    <x v="6"/>
    <x v="3"/>
    <x v="9"/>
    <x v="1"/>
  </r>
  <r>
    <s v="TX501797"/>
    <x v="18"/>
    <x v="3"/>
    <n v="33.299999999999997"/>
    <n v="233.09999999999997"/>
    <x v="65"/>
    <d v="2025-03-08T00:00:00"/>
    <s v="F"/>
    <x v="3"/>
    <x v="0"/>
    <x v="0"/>
    <x v="8"/>
    <x v="3"/>
    <x v="9"/>
    <x v="2"/>
  </r>
  <r>
    <s v="TX501798"/>
    <x v="10"/>
    <x v="2"/>
    <n v="37.799999999999997"/>
    <n v="113.39999999999999"/>
    <x v="65"/>
    <d v="2025-03-09T00:00:00"/>
    <s v="M"/>
    <x v="1"/>
    <x v="2"/>
    <x v="0"/>
    <x v="8"/>
    <x v="1"/>
    <x v="9"/>
    <x v="1"/>
  </r>
  <r>
    <s v="TX501799"/>
    <x v="5"/>
    <x v="2"/>
    <n v="26"/>
    <n v="78"/>
    <x v="65"/>
    <d v="2025-03-12T00:00:00"/>
    <s v="F"/>
    <x v="0"/>
    <x v="0"/>
    <x v="0"/>
    <x v="8"/>
    <x v="0"/>
    <x v="9"/>
    <x v="2"/>
  </r>
  <r>
    <s v="TX501800"/>
    <x v="8"/>
    <x v="10"/>
    <n v="28.3"/>
    <n v="537.70000000000005"/>
    <x v="65"/>
    <d v="2025-03-08T00:00:00"/>
    <s v="F"/>
    <x v="3"/>
    <x v="4"/>
    <x v="0"/>
    <x v="8"/>
    <x v="3"/>
    <x v="9"/>
    <x v="2"/>
  </r>
  <r>
    <s v="TX501801"/>
    <x v="8"/>
    <x v="12"/>
    <n v="31.3"/>
    <n v="125.2"/>
    <x v="65"/>
    <d v="2025-03-07T00:00:00"/>
    <s v="F"/>
    <x v="0"/>
    <x v="0"/>
    <x v="0"/>
    <x v="8"/>
    <x v="7"/>
    <x v="9"/>
    <x v="2"/>
  </r>
  <r>
    <s v="TX501802"/>
    <x v="7"/>
    <x v="2"/>
    <n v="69.5"/>
    <n v="208.5"/>
    <x v="65"/>
    <d v="2025-03-08T00:00:00"/>
    <s v="F"/>
    <x v="3"/>
    <x v="2"/>
    <x v="0"/>
    <x v="8"/>
    <x v="3"/>
    <x v="9"/>
    <x v="2"/>
  </r>
  <r>
    <s v="TX501803"/>
    <x v="0"/>
    <x v="1"/>
    <n v="16.7"/>
    <n v="33.4"/>
    <x v="65"/>
    <d v="2025-03-08T00:00:00"/>
    <s v="F"/>
    <x v="3"/>
    <x v="1"/>
    <x v="0"/>
    <x v="8"/>
    <x v="3"/>
    <x v="9"/>
    <x v="2"/>
  </r>
  <r>
    <s v="TX501804"/>
    <x v="9"/>
    <x v="1"/>
    <n v="62.6"/>
    <n v="125.2"/>
    <x v="65"/>
    <d v="2025-03-08T00:00:00"/>
    <s v="M"/>
    <x v="2"/>
    <x v="2"/>
    <x v="0"/>
    <x v="9"/>
    <x v="3"/>
    <x v="9"/>
    <x v="1"/>
  </r>
  <r>
    <s v="TX501805"/>
    <x v="7"/>
    <x v="0"/>
    <n v="81.2"/>
    <n v="81.2"/>
    <x v="65"/>
    <d v="2025-03-13T00:00:00"/>
    <s v="M"/>
    <x v="4"/>
    <x v="4"/>
    <x v="0"/>
    <x v="9"/>
    <x v="4"/>
    <x v="9"/>
    <x v="1"/>
  </r>
  <r>
    <s v="TX501806"/>
    <x v="0"/>
    <x v="7"/>
    <n v="12.7"/>
    <n v="127"/>
    <x v="65"/>
    <d v="2025-03-08T00:00:00"/>
    <s v="F"/>
    <x v="0"/>
    <x v="2"/>
    <x v="0"/>
    <x v="9"/>
    <x v="3"/>
    <x v="9"/>
    <x v="2"/>
  </r>
  <r>
    <s v="TX501807"/>
    <x v="7"/>
    <x v="12"/>
    <n v="77.7"/>
    <n v="310.8"/>
    <x v="66"/>
    <d v="2025-03-12T00:00:00"/>
    <s v="M"/>
    <x v="1"/>
    <x v="0"/>
    <x v="0"/>
    <x v="11"/>
    <x v="5"/>
    <x v="9"/>
    <x v="1"/>
  </r>
  <r>
    <s v="TX501808"/>
    <x v="5"/>
    <x v="1"/>
    <n v="37.299999999999997"/>
    <n v="74.599999999999994"/>
    <x v="66"/>
    <d v="2025-03-09T00:00:00"/>
    <s v="F"/>
    <x v="0"/>
    <x v="2"/>
    <x v="0"/>
    <x v="18"/>
    <x v="3"/>
    <x v="9"/>
    <x v="2"/>
  </r>
  <r>
    <s v="TX501809"/>
    <x v="10"/>
    <x v="12"/>
    <n v="35.6"/>
    <n v="142.4"/>
    <x v="66"/>
    <d v="2025-03-10T00:00:00"/>
    <s v="F"/>
    <x v="1"/>
    <x v="1"/>
    <x v="0"/>
    <x v="19"/>
    <x v="1"/>
    <x v="9"/>
    <x v="2"/>
  </r>
  <r>
    <s v="TX501810"/>
    <x v="2"/>
    <x v="2"/>
    <n v="95"/>
    <n v="285"/>
    <x v="66"/>
    <d v="2025-03-12T00:00:00"/>
    <s v="F"/>
    <x v="2"/>
    <x v="2"/>
    <x v="0"/>
    <x v="56"/>
    <x v="5"/>
    <x v="9"/>
    <x v="2"/>
  </r>
  <r>
    <s v="TX501811"/>
    <x v="2"/>
    <x v="12"/>
    <n v="172.1"/>
    <n v="688.4"/>
    <x v="66"/>
    <d v="2025-03-12T00:00:00"/>
    <s v="O"/>
    <x v="2"/>
    <x v="2"/>
    <x v="0"/>
    <x v="21"/>
    <x v="5"/>
    <x v="9"/>
    <x v="3"/>
  </r>
  <r>
    <s v="TX501812"/>
    <x v="2"/>
    <x v="1"/>
    <n v="233"/>
    <n v="466"/>
    <x v="66"/>
    <d v="2025-03-11T00:00:00"/>
    <s v="F"/>
    <x v="1"/>
    <x v="0"/>
    <x v="0"/>
    <x v="21"/>
    <x v="2"/>
    <x v="9"/>
    <x v="2"/>
  </r>
  <r>
    <s v="TX501813"/>
    <x v="0"/>
    <x v="0"/>
    <n v="43.5"/>
    <n v="43.5"/>
    <x v="66"/>
    <d v="2025-03-09T00:00:00"/>
    <s v="F"/>
    <x v="2"/>
    <x v="2"/>
    <x v="0"/>
    <x v="21"/>
    <x v="3"/>
    <x v="9"/>
    <x v="2"/>
  </r>
  <r>
    <s v="TX501814"/>
    <x v="9"/>
    <x v="1"/>
    <n v="47.8"/>
    <n v="95.6"/>
    <x v="66"/>
    <d v="2025-03-11T00:00:00"/>
    <s v="M"/>
    <x v="4"/>
    <x v="2"/>
    <x v="0"/>
    <x v="1"/>
    <x v="2"/>
    <x v="9"/>
    <x v="1"/>
  </r>
  <r>
    <s v="TX501815"/>
    <x v="12"/>
    <x v="1"/>
    <n v="65.8"/>
    <n v="131.6"/>
    <x v="66"/>
    <d v="2025-03-10T00:00:00"/>
    <s v="F"/>
    <x v="0"/>
    <x v="3"/>
    <x v="0"/>
    <x v="33"/>
    <x v="1"/>
    <x v="9"/>
    <x v="2"/>
  </r>
  <r>
    <s v="TX501816"/>
    <x v="15"/>
    <x v="5"/>
    <n v="38.700000000000003"/>
    <n v="425.70000000000005"/>
    <x v="66"/>
    <d v="2025-03-08T00:00:00"/>
    <s v="M"/>
    <x v="0"/>
    <x v="0"/>
    <x v="0"/>
    <x v="22"/>
    <x v="7"/>
    <x v="9"/>
    <x v="1"/>
  </r>
  <r>
    <s v="TX501817"/>
    <x v="3"/>
    <x v="12"/>
    <n v="55.7"/>
    <n v="222.8"/>
    <x v="66"/>
    <d v="2025-03-10T00:00:00"/>
    <s v="O"/>
    <x v="0"/>
    <x v="1"/>
    <x v="0"/>
    <x v="22"/>
    <x v="1"/>
    <x v="9"/>
    <x v="3"/>
  </r>
  <r>
    <s v="TX501818"/>
    <x v="7"/>
    <x v="1"/>
    <n v="102.4"/>
    <n v="204.8"/>
    <x v="66"/>
    <d v="2025-03-08T00:00:00"/>
    <s v="F"/>
    <x v="1"/>
    <x v="0"/>
    <x v="0"/>
    <x v="3"/>
    <x v="7"/>
    <x v="9"/>
    <x v="2"/>
  </r>
  <r>
    <s v="TX501819"/>
    <x v="1"/>
    <x v="0"/>
    <n v="92"/>
    <n v="92"/>
    <x v="66"/>
    <d v="2025-03-12T00:00:00"/>
    <s v=""/>
    <x v="2"/>
    <x v="0"/>
    <x v="0"/>
    <x v="3"/>
    <x v="5"/>
    <x v="9"/>
    <x v="0"/>
  </r>
  <r>
    <s v="TX501820"/>
    <x v="6"/>
    <x v="12"/>
    <n v="75.900000000000006"/>
    <n v="303.60000000000002"/>
    <x v="66"/>
    <d v="2025-03-10T00:00:00"/>
    <s v="F"/>
    <x v="1"/>
    <x v="0"/>
    <x v="0"/>
    <x v="3"/>
    <x v="1"/>
    <x v="9"/>
    <x v="2"/>
  </r>
  <r>
    <s v="TX501821"/>
    <x v="1"/>
    <x v="12"/>
    <n v="36.200000000000003"/>
    <n v="144.80000000000001"/>
    <x v="66"/>
    <d v="2025-03-09T00:00:00"/>
    <s v="F"/>
    <x v="1"/>
    <x v="0"/>
    <x v="0"/>
    <x v="3"/>
    <x v="3"/>
    <x v="9"/>
    <x v="2"/>
  </r>
  <r>
    <s v="TX501822"/>
    <x v="6"/>
    <x v="45"/>
    <n v="83.5"/>
    <n v="7264.5"/>
    <x v="66"/>
    <d v="2025-03-10T00:00:00"/>
    <s v=""/>
    <x v="3"/>
    <x v="0"/>
    <x v="0"/>
    <x v="3"/>
    <x v="1"/>
    <x v="9"/>
    <x v="0"/>
  </r>
  <r>
    <s v="TX501823"/>
    <x v="19"/>
    <x v="4"/>
    <n v="52.4"/>
    <n v="628.79999999999995"/>
    <x v="66"/>
    <d v="2025-03-08T00:00:00"/>
    <s v="M"/>
    <x v="2"/>
    <x v="0"/>
    <x v="0"/>
    <x v="3"/>
    <x v="7"/>
    <x v="9"/>
    <x v="1"/>
  </r>
  <r>
    <s v="TX501824"/>
    <x v="12"/>
    <x v="2"/>
    <n v="69.5"/>
    <n v="208.5"/>
    <x v="66"/>
    <d v="2025-03-09T00:00:00"/>
    <s v="O"/>
    <x v="4"/>
    <x v="0"/>
    <x v="0"/>
    <x v="3"/>
    <x v="3"/>
    <x v="9"/>
    <x v="3"/>
  </r>
  <r>
    <s v="TX501825"/>
    <x v="0"/>
    <x v="0"/>
    <n v="15.5"/>
    <n v="15.5"/>
    <x v="66"/>
    <d v="2025-03-10T00:00:00"/>
    <s v="M"/>
    <x v="0"/>
    <x v="0"/>
    <x v="0"/>
    <x v="3"/>
    <x v="1"/>
    <x v="9"/>
    <x v="1"/>
  </r>
  <r>
    <s v="TX501826"/>
    <x v="4"/>
    <x v="12"/>
    <n v="35.200000000000003"/>
    <n v="140.80000000000001"/>
    <x v="66"/>
    <d v="2025-03-09T00:00:00"/>
    <s v="F"/>
    <x v="2"/>
    <x v="2"/>
    <x v="0"/>
    <x v="3"/>
    <x v="3"/>
    <x v="9"/>
    <x v="2"/>
  </r>
  <r>
    <s v="TX501827"/>
    <x v="8"/>
    <x v="13"/>
    <n v="34.6"/>
    <n v="207.60000000000002"/>
    <x v="66"/>
    <d v="2025-03-09T00:00:00"/>
    <s v=""/>
    <x v="0"/>
    <x v="1"/>
    <x v="0"/>
    <x v="3"/>
    <x v="3"/>
    <x v="9"/>
    <x v="0"/>
  </r>
  <r>
    <s v="TX501828"/>
    <x v="4"/>
    <x v="0"/>
    <n v="21.3"/>
    <n v="21.3"/>
    <x v="67"/>
    <d v="2025-03-10T00:00:00"/>
    <s v="M"/>
    <x v="2"/>
    <x v="1"/>
    <x v="0"/>
    <x v="3"/>
    <x v="3"/>
    <x v="10"/>
    <x v="1"/>
  </r>
  <r>
    <s v="TX501829"/>
    <x v="6"/>
    <x v="1"/>
    <n v="136.5"/>
    <n v="273"/>
    <x v="67"/>
    <d v="2025-03-15T00:00:00"/>
    <s v="F"/>
    <x v="0"/>
    <x v="0"/>
    <x v="0"/>
    <x v="37"/>
    <x v="4"/>
    <x v="10"/>
    <x v="2"/>
  </r>
  <r>
    <s v="TX501830"/>
    <x v="9"/>
    <x v="3"/>
    <n v="30.7"/>
    <n v="214.9"/>
    <x v="67"/>
    <d v="2025-03-10T00:00:00"/>
    <s v="M"/>
    <x v="2"/>
    <x v="2"/>
    <x v="0"/>
    <x v="25"/>
    <x v="3"/>
    <x v="10"/>
    <x v="1"/>
  </r>
  <r>
    <s v="TX501831"/>
    <x v="1"/>
    <x v="1"/>
    <n v="61.6"/>
    <n v="123.2"/>
    <x v="67"/>
    <d v="2025-03-10T00:00:00"/>
    <s v="F"/>
    <x v="2"/>
    <x v="2"/>
    <x v="0"/>
    <x v="23"/>
    <x v="3"/>
    <x v="10"/>
    <x v="2"/>
  </r>
  <r>
    <s v="TX501832"/>
    <x v="6"/>
    <x v="12"/>
    <n v="54.3"/>
    <n v="217.2"/>
    <x v="67"/>
    <d v="2025-03-11T00:00:00"/>
    <s v=""/>
    <x v="4"/>
    <x v="0"/>
    <x v="0"/>
    <x v="7"/>
    <x v="1"/>
    <x v="10"/>
    <x v="0"/>
  </r>
  <r>
    <s v="TX501833"/>
    <x v="1"/>
    <x v="1"/>
    <n v="44.1"/>
    <n v="88.2"/>
    <x v="67"/>
    <d v="2025-03-21T00:00:00"/>
    <s v="F"/>
    <x v="0"/>
    <x v="2"/>
    <x v="0"/>
    <x v="8"/>
    <x v="13"/>
    <x v="10"/>
    <x v="2"/>
  </r>
  <r>
    <s v="TX501834"/>
    <x v="8"/>
    <x v="12"/>
    <n v="43.5"/>
    <n v="174"/>
    <x v="67"/>
    <d v="2025-03-15T00:00:00"/>
    <s v="M"/>
    <x v="3"/>
    <x v="0"/>
    <x v="0"/>
    <x v="8"/>
    <x v="4"/>
    <x v="10"/>
    <x v="1"/>
  </r>
  <r>
    <s v="TX501835"/>
    <x v="8"/>
    <x v="2"/>
    <n v="48.2"/>
    <n v="144.60000000000002"/>
    <x v="67"/>
    <d v="2025-03-13T00:00:00"/>
    <s v="M"/>
    <x v="3"/>
    <x v="1"/>
    <x v="0"/>
    <x v="8"/>
    <x v="5"/>
    <x v="10"/>
    <x v="1"/>
  </r>
  <r>
    <s v="TX501836"/>
    <x v="19"/>
    <x v="0"/>
    <n v="13.7"/>
    <n v="13.7"/>
    <x v="67"/>
    <d v="2025-03-10T00:00:00"/>
    <s v="F"/>
    <x v="2"/>
    <x v="2"/>
    <x v="0"/>
    <x v="8"/>
    <x v="3"/>
    <x v="10"/>
    <x v="2"/>
  </r>
  <r>
    <s v="TX501837"/>
    <x v="2"/>
    <x v="1"/>
    <n v="110.5"/>
    <n v="221"/>
    <x v="67"/>
    <d v="2025-03-10T00:00:00"/>
    <s v="F"/>
    <x v="0"/>
    <x v="1"/>
    <x v="0"/>
    <x v="8"/>
    <x v="3"/>
    <x v="10"/>
    <x v="2"/>
  </r>
  <r>
    <s v="TX501838"/>
    <x v="8"/>
    <x v="2"/>
    <n v="26"/>
    <n v="78"/>
    <x v="67"/>
    <d v="2025-03-14T00:00:00"/>
    <s v="F"/>
    <x v="1"/>
    <x v="1"/>
    <x v="0"/>
    <x v="8"/>
    <x v="0"/>
    <x v="10"/>
    <x v="2"/>
  </r>
  <r>
    <s v="TX501839"/>
    <x v="2"/>
    <x v="7"/>
    <n v="140.69999999999999"/>
    <n v="1407"/>
    <x v="67"/>
    <d v="2025-03-15T00:00:00"/>
    <s v="M"/>
    <x v="3"/>
    <x v="1"/>
    <x v="0"/>
    <x v="8"/>
    <x v="4"/>
    <x v="10"/>
    <x v="1"/>
  </r>
  <r>
    <s v="TX501840"/>
    <x v="17"/>
    <x v="1"/>
    <n v="41.7"/>
    <n v="83.4"/>
    <x v="67"/>
    <d v="2025-03-17T00:00:00"/>
    <s v="F"/>
    <x v="0"/>
    <x v="4"/>
    <x v="0"/>
    <x v="8"/>
    <x v="9"/>
    <x v="10"/>
    <x v="2"/>
  </r>
  <r>
    <s v="TX501841"/>
    <x v="2"/>
    <x v="1"/>
    <n v="135.1"/>
    <n v="270.2"/>
    <x v="67"/>
    <d v="2025-03-10T00:00:00"/>
    <s v="M"/>
    <x v="0"/>
    <x v="2"/>
    <x v="0"/>
    <x v="17"/>
    <x v="3"/>
    <x v="10"/>
    <x v="1"/>
  </r>
  <r>
    <s v="TX501842"/>
    <x v="12"/>
    <x v="32"/>
    <n v="95.5"/>
    <n v="2101"/>
    <x v="67"/>
    <d v="2025-03-10T00:00:00"/>
    <s v="F"/>
    <x v="4"/>
    <x v="4"/>
    <x v="0"/>
    <x v="26"/>
    <x v="3"/>
    <x v="10"/>
    <x v="2"/>
  </r>
  <r>
    <s v="TX501843"/>
    <x v="15"/>
    <x v="0"/>
    <n v="25.5"/>
    <n v="25.5"/>
    <x v="67"/>
    <d v="2025-03-12T00:00:00"/>
    <s v=""/>
    <x v="2"/>
    <x v="2"/>
    <x v="0"/>
    <x v="11"/>
    <x v="2"/>
    <x v="10"/>
    <x v="0"/>
  </r>
  <r>
    <s v="TX501844"/>
    <x v="1"/>
    <x v="0"/>
    <n v="42.6"/>
    <n v="42.6"/>
    <x v="67"/>
    <d v="2025-03-13T00:00:00"/>
    <s v="F"/>
    <x v="0"/>
    <x v="0"/>
    <x v="0"/>
    <x v="11"/>
    <x v="5"/>
    <x v="10"/>
    <x v="2"/>
  </r>
  <r>
    <s v="TX501845"/>
    <x v="8"/>
    <x v="20"/>
    <n v="32.4"/>
    <n v="486"/>
    <x v="67"/>
    <d v="2025-03-10T00:00:00"/>
    <s v="M"/>
    <x v="1"/>
    <x v="1"/>
    <x v="0"/>
    <x v="11"/>
    <x v="3"/>
    <x v="10"/>
    <x v="1"/>
  </r>
  <r>
    <s v="TX501846"/>
    <x v="4"/>
    <x v="12"/>
    <n v="20.2"/>
    <n v="80.8"/>
    <x v="67"/>
    <d v="2025-03-10T00:00:00"/>
    <s v="O"/>
    <x v="2"/>
    <x v="0"/>
    <x v="0"/>
    <x v="11"/>
    <x v="3"/>
    <x v="10"/>
    <x v="3"/>
  </r>
  <r>
    <s v="TX501847"/>
    <x v="16"/>
    <x v="2"/>
    <n v="52.5"/>
    <n v="157.5"/>
    <x v="67"/>
    <d v="2025-03-14T00:00:00"/>
    <s v="F"/>
    <x v="4"/>
    <x v="0"/>
    <x v="0"/>
    <x v="18"/>
    <x v="0"/>
    <x v="10"/>
    <x v="2"/>
  </r>
  <r>
    <s v="TX501848"/>
    <x v="2"/>
    <x v="9"/>
    <n v="59.9"/>
    <n v="299.5"/>
    <x v="67"/>
    <d v="2025-03-11T00:00:00"/>
    <s v="F"/>
    <x v="2"/>
    <x v="0"/>
    <x v="0"/>
    <x v="19"/>
    <x v="1"/>
    <x v="10"/>
    <x v="2"/>
  </r>
  <r>
    <s v="TX501849"/>
    <x v="4"/>
    <x v="1"/>
    <n v="53.2"/>
    <n v="106.4"/>
    <x v="67"/>
    <d v="2025-03-10T00:00:00"/>
    <s v="F"/>
    <x v="1"/>
    <x v="3"/>
    <x v="0"/>
    <x v="20"/>
    <x v="3"/>
    <x v="10"/>
    <x v="2"/>
  </r>
  <r>
    <s v="TX501850"/>
    <x v="2"/>
    <x v="1"/>
    <n v="60"/>
    <n v="120"/>
    <x v="67"/>
    <d v="2025-03-15T00:00:00"/>
    <s v="M"/>
    <x v="1"/>
    <x v="2"/>
    <x v="0"/>
    <x v="20"/>
    <x v="4"/>
    <x v="10"/>
    <x v="1"/>
  </r>
  <r>
    <s v="TX501851"/>
    <x v="8"/>
    <x v="2"/>
    <n v="29.3"/>
    <n v="87.9"/>
    <x v="67"/>
    <d v="2025-03-10T00:00:00"/>
    <s v="F"/>
    <x v="4"/>
    <x v="0"/>
    <x v="0"/>
    <x v="13"/>
    <x v="3"/>
    <x v="10"/>
    <x v="2"/>
  </r>
  <r>
    <s v="TX501852"/>
    <x v="12"/>
    <x v="1"/>
    <n v="55.4"/>
    <n v="110.8"/>
    <x v="67"/>
    <d v="2025-03-10T00:00:00"/>
    <s v="F"/>
    <x v="0"/>
    <x v="2"/>
    <x v="0"/>
    <x v="21"/>
    <x v="3"/>
    <x v="10"/>
    <x v="2"/>
  </r>
  <r>
    <s v="TX501853"/>
    <x v="0"/>
    <x v="9"/>
    <n v="20.100000000000001"/>
    <n v="100.5"/>
    <x v="67"/>
    <d v="2025-03-11T00:00:00"/>
    <s v="F"/>
    <x v="1"/>
    <x v="2"/>
    <x v="0"/>
    <x v="21"/>
    <x v="1"/>
    <x v="10"/>
    <x v="2"/>
  </r>
  <r>
    <s v="TX501854"/>
    <x v="14"/>
    <x v="9"/>
    <n v="24"/>
    <n v="120"/>
    <x v="67"/>
    <d v="2025-03-12T00:00:00"/>
    <s v="M"/>
    <x v="2"/>
    <x v="0"/>
    <x v="0"/>
    <x v="1"/>
    <x v="2"/>
    <x v="10"/>
    <x v="1"/>
  </r>
  <r>
    <s v="TX501855"/>
    <x v="8"/>
    <x v="1"/>
    <n v="30.6"/>
    <n v="61.2"/>
    <x v="68"/>
    <d v="2025-03-12T00:00:00"/>
    <s v="F"/>
    <x v="0"/>
    <x v="0"/>
    <x v="0"/>
    <x v="1"/>
    <x v="1"/>
    <x v="10"/>
    <x v="2"/>
  </r>
  <r>
    <s v="TX501856"/>
    <x v="10"/>
    <x v="9"/>
    <n v="33"/>
    <n v="165"/>
    <x v="68"/>
    <d v="2025-03-11T00:00:00"/>
    <s v="M"/>
    <x v="1"/>
    <x v="1"/>
    <x v="0"/>
    <x v="27"/>
    <x v="3"/>
    <x v="10"/>
    <x v="1"/>
  </r>
  <r>
    <s v="TX501857"/>
    <x v="17"/>
    <x v="11"/>
    <n v="42.1"/>
    <n v="378.90000000000003"/>
    <x v="68"/>
    <d v="2025-03-16T00:00:00"/>
    <s v="F"/>
    <x v="2"/>
    <x v="0"/>
    <x v="0"/>
    <x v="44"/>
    <x v="4"/>
    <x v="10"/>
    <x v="2"/>
  </r>
  <r>
    <s v="TX501858"/>
    <x v="6"/>
    <x v="3"/>
    <n v="77.7"/>
    <n v="543.9"/>
    <x v="68"/>
    <d v="2025-03-15T00:00:00"/>
    <s v="F"/>
    <x v="1"/>
    <x v="2"/>
    <x v="0"/>
    <x v="50"/>
    <x v="0"/>
    <x v="10"/>
    <x v="2"/>
  </r>
  <r>
    <s v="TX501859"/>
    <x v="17"/>
    <x v="13"/>
    <n v="22.7"/>
    <n v="136.19999999999999"/>
    <x v="68"/>
    <d v="2025-03-13T00:00:00"/>
    <s v="F"/>
    <x v="2"/>
    <x v="0"/>
    <x v="0"/>
    <x v="3"/>
    <x v="2"/>
    <x v="10"/>
    <x v="2"/>
  </r>
  <r>
    <s v="TX501860"/>
    <x v="2"/>
    <x v="1"/>
    <n v="133"/>
    <n v="266"/>
    <x v="68"/>
    <d v="2025-03-10T00:00:00"/>
    <s v="M"/>
    <x v="2"/>
    <x v="2"/>
    <x v="0"/>
    <x v="3"/>
    <x v="7"/>
    <x v="10"/>
    <x v="1"/>
  </r>
  <r>
    <s v="TX501861"/>
    <x v="0"/>
    <x v="1"/>
    <n v="23.3"/>
    <n v="46.6"/>
    <x v="68"/>
    <d v="2025-03-11T00:00:00"/>
    <s v="M"/>
    <x v="1"/>
    <x v="2"/>
    <x v="0"/>
    <x v="3"/>
    <x v="3"/>
    <x v="10"/>
    <x v="1"/>
  </r>
  <r>
    <s v="TX501862"/>
    <x v="8"/>
    <x v="2"/>
    <n v="20.7"/>
    <n v="62.099999999999994"/>
    <x v="68"/>
    <d v="2025-03-12T00:00:00"/>
    <s v="O"/>
    <x v="0"/>
    <x v="2"/>
    <x v="0"/>
    <x v="3"/>
    <x v="1"/>
    <x v="10"/>
    <x v="3"/>
  </r>
  <r>
    <s v="TX501863"/>
    <x v="12"/>
    <x v="1"/>
    <n v="47"/>
    <n v="94"/>
    <x v="68"/>
    <d v="2025-03-11T00:00:00"/>
    <s v="M"/>
    <x v="1"/>
    <x v="2"/>
    <x v="0"/>
    <x v="3"/>
    <x v="3"/>
    <x v="10"/>
    <x v="1"/>
  </r>
  <r>
    <s v="TX501864"/>
    <x v="12"/>
    <x v="2"/>
    <n v="38.200000000000003"/>
    <n v="114.60000000000001"/>
    <x v="68"/>
    <d v="2025-03-12T00:00:00"/>
    <s v="F"/>
    <x v="2"/>
    <x v="4"/>
    <x v="0"/>
    <x v="3"/>
    <x v="1"/>
    <x v="10"/>
    <x v="2"/>
  </r>
  <r>
    <s v="TX501865"/>
    <x v="9"/>
    <x v="0"/>
    <n v="39.1"/>
    <n v="39.1"/>
    <x v="68"/>
    <d v="2025-03-12T00:00:00"/>
    <s v="F"/>
    <x v="0"/>
    <x v="0"/>
    <x v="0"/>
    <x v="3"/>
    <x v="1"/>
    <x v="10"/>
    <x v="2"/>
  </r>
  <r>
    <s v="TX501866"/>
    <x v="7"/>
    <x v="30"/>
    <n v="55.6"/>
    <n v="1390"/>
    <x v="68"/>
    <d v="2025-03-12T00:00:00"/>
    <s v="M"/>
    <x v="0"/>
    <x v="2"/>
    <x v="0"/>
    <x v="3"/>
    <x v="1"/>
    <x v="10"/>
    <x v="1"/>
  </r>
  <r>
    <s v="TX501867"/>
    <x v="15"/>
    <x v="0"/>
    <n v="43.1"/>
    <n v="43.1"/>
    <x v="68"/>
    <d v="2025-03-10T00:00:00"/>
    <s v="O"/>
    <x v="1"/>
    <x v="2"/>
    <x v="0"/>
    <x v="3"/>
    <x v="7"/>
    <x v="10"/>
    <x v="3"/>
  </r>
  <r>
    <s v="TX501868"/>
    <x v="6"/>
    <x v="12"/>
    <n v="48.1"/>
    <n v="192.4"/>
    <x v="68"/>
    <d v="2025-03-11T00:00:00"/>
    <s v="F"/>
    <x v="4"/>
    <x v="2"/>
    <x v="0"/>
    <x v="3"/>
    <x v="3"/>
    <x v="10"/>
    <x v="2"/>
  </r>
  <r>
    <s v="TX501869"/>
    <x v="4"/>
    <x v="0"/>
    <n v="42"/>
    <n v="42"/>
    <x v="68"/>
    <d v="2025-03-11T00:00:00"/>
    <s v="O"/>
    <x v="0"/>
    <x v="0"/>
    <x v="0"/>
    <x v="3"/>
    <x v="3"/>
    <x v="10"/>
    <x v="3"/>
  </r>
  <r>
    <s v="TX501870"/>
    <x v="8"/>
    <x v="9"/>
    <n v="18.3"/>
    <n v="91.5"/>
    <x v="68"/>
    <d v="2025-03-10T00:00:00"/>
    <s v="F"/>
    <x v="2"/>
    <x v="0"/>
    <x v="0"/>
    <x v="3"/>
    <x v="7"/>
    <x v="10"/>
    <x v="2"/>
  </r>
  <r>
    <s v="TX501871"/>
    <x v="10"/>
    <x v="12"/>
    <n v="45.3"/>
    <n v="181.2"/>
    <x v="68"/>
    <d v="2025-03-13T00:00:00"/>
    <s v="F"/>
    <x v="0"/>
    <x v="2"/>
    <x v="0"/>
    <x v="3"/>
    <x v="2"/>
    <x v="10"/>
    <x v="2"/>
  </r>
  <r>
    <s v="TX501872"/>
    <x v="0"/>
    <x v="1"/>
    <n v="27.6"/>
    <n v="55.2"/>
    <x v="68"/>
    <d v="2025-03-12T00:00:00"/>
    <s v="M"/>
    <x v="0"/>
    <x v="2"/>
    <x v="0"/>
    <x v="37"/>
    <x v="1"/>
    <x v="10"/>
    <x v="1"/>
  </r>
  <r>
    <s v="TX501873"/>
    <x v="4"/>
    <x v="9"/>
    <n v="26.9"/>
    <n v="134.5"/>
    <x v="68"/>
    <d v="2025-03-11T00:00:00"/>
    <s v="F"/>
    <x v="2"/>
    <x v="0"/>
    <x v="0"/>
    <x v="25"/>
    <x v="3"/>
    <x v="10"/>
    <x v="2"/>
  </r>
  <r>
    <s v="TX501874"/>
    <x v="2"/>
    <x v="11"/>
    <n v="82.4"/>
    <n v="741.6"/>
    <x v="68"/>
    <d v="2025-03-12T00:00:00"/>
    <s v="O"/>
    <x v="2"/>
    <x v="0"/>
    <x v="0"/>
    <x v="5"/>
    <x v="1"/>
    <x v="10"/>
    <x v="3"/>
  </r>
  <r>
    <s v="TX501875"/>
    <x v="6"/>
    <x v="0"/>
    <n v="103.7"/>
    <n v="103.7"/>
    <x v="68"/>
    <d v="2025-03-12T00:00:00"/>
    <s v="F"/>
    <x v="1"/>
    <x v="0"/>
    <x v="0"/>
    <x v="5"/>
    <x v="1"/>
    <x v="10"/>
    <x v="2"/>
  </r>
  <r>
    <s v="TX501876"/>
    <x v="2"/>
    <x v="1"/>
    <n v="58.8"/>
    <n v="117.6"/>
    <x v="68"/>
    <d v="2025-03-15T00:00:00"/>
    <s v="F"/>
    <x v="1"/>
    <x v="2"/>
    <x v="0"/>
    <x v="6"/>
    <x v="0"/>
    <x v="10"/>
    <x v="2"/>
  </r>
  <r>
    <s v="TX501877"/>
    <x v="13"/>
    <x v="0"/>
    <n v="31.5"/>
    <n v="31.5"/>
    <x v="68"/>
    <d v="2025-03-11T00:00:00"/>
    <s v="F"/>
    <x v="1"/>
    <x v="1"/>
    <x v="0"/>
    <x v="6"/>
    <x v="3"/>
    <x v="10"/>
    <x v="2"/>
  </r>
  <r>
    <s v="TX501878"/>
    <x v="7"/>
    <x v="9"/>
    <n v="36.799999999999997"/>
    <n v="184"/>
    <x v="68"/>
    <d v="2025-03-12T00:00:00"/>
    <s v="F"/>
    <x v="0"/>
    <x v="0"/>
    <x v="0"/>
    <x v="8"/>
    <x v="1"/>
    <x v="10"/>
    <x v="2"/>
  </r>
  <r>
    <s v="TX501879"/>
    <x v="3"/>
    <x v="0"/>
    <n v="84.4"/>
    <n v="84.4"/>
    <x v="68"/>
    <d v="2025-03-11T00:00:00"/>
    <s v="F"/>
    <x v="0"/>
    <x v="0"/>
    <x v="0"/>
    <x v="8"/>
    <x v="3"/>
    <x v="10"/>
    <x v="2"/>
  </r>
  <r>
    <s v="TX501880"/>
    <x v="14"/>
    <x v="0"/>
    <n v="44.7"/>
    <n v="44.7"/>
    <x v="68"/>
    <d v="2025-03-11T00:00:00"/>
    <s v="M"/>
    <x v="0"/>
    <x v="1"/>
    <x v="0"/>
    <x v="8"/>
    <x v="3"/>
    <x v="10"/>
    <x v="1"/>
  </r>
  <r>
    <s v="TX501881"/>
    <x v="9"/>
    <x v="8"/>
    <n v="39.4"/>
    <n v="315.2"/>
    <x v="68"/>
    <d v="2025-03-11T00:00:00"/>
    <s v="F"/>
    <x v="1"/>
    <x v="2"/>
    <x v="0"/>
    <x v="8"/>
    <x v="3"/>
    <x v="10"/>
    <x v="2"/>
  </r>
  <r>
    <s v="TX501882"/>
    <x v="11"/>
    <x v="12"/>
    <n v="34.9"/>
    <n v="139.6"/>
    <x v="68"/>
    <d v="2025-03-12T00:00:00"/>
    <s v="F"/>
    <x v="0"/>
    <x v="2"/>
    <x v="0"/>
    <x v="8"/>
    <x v="1"/>
    <x v="10"/>
    <x v="2"/>
  </r>
  <r>
    <s v="TX501883"/>
    <x v="1"/>
    <x v="2"/>
    <n v="62.3"/>
    <n v="186.89999999999998"/>
    <x v="68"/>
    <d v="2025-03-12T00:00:00"/>
    <s v="M"/>
    <x v="4"/>
    <x v="2"/>
    <x v="0"/>
    <x v="8"/>
    <x v="1"/>
    <x v="10"/>
    <x v="1"/>
  </r>
  <r>
    <s v="TX501884"/>
    <x v="8"/>
    <x v="12"/>
    <n v="21.1"/>
    <n v="84.4"/>
    <x v="68"/>
    <d v="2025-03-13T00:00:00"/>
    <s v="M"/>
    <x v="3"/>
    <x v="0"/>
    <x v="0"/>
    <x v="8"/>
    <x v="2"/>
    <x v="10"/>
    <x v="1"/>
  </r>
  <r>
    <s v="TX501885"/>
    <x v="8"/>
    <x v="2"/>
    <n v="33.200000000000003"/>
    <n v="99.600000000000009"/>
    <x v="68"/>
    <d v="2025-03-24T00:00:00"/>
    <s v=""/>
    <x v="0"/>
    <x v="4"/>
    <x v="0"/>
    <x v="8"/>
    <x v="12"/>
    <x v="10"/>
    <x v="0"/>
  </r>
  <r>
    <s v="TX501886"/>
    <x v="1"/>
    <x v="12"/>
    <n v="74.5"/>
    <n v="298"/>
    <x v="68"/>
    <d v="2025-03-11T00:00:00"/>
    <s v="M"/>
    <x v="4"/>
    <x v="0"/>
    <x v="0"/>
    <x v="8"/>
    <x v="3"/>
    <x v="10"/>
    <x v="1"/>
  </r>
  <r>
    <s v="TX501887"/>
    <x v="10"/>
    <x v="4"/>
    <n v="68.599999999999994"/>
    <n v="823.19999999999993"/>
    <x v="68"/>
    <d v="2025-03-13T00:00:00"/>
    <s v="F"/>
    <x v="0"/>
    <x v="2"/>
    <x v="0"/>
    <x v="8"/>
    <x v="2"/>
    <x v="10"/>
    <x v="2"/>
  </r>
  <r>
    <s v="TX501888"/>
    <x v="5"/>
    <x v="21"/>
    <n v="36.4"/>
    <n v="509.59999999999997"/>
    <x v="68"/>
    <d v="2025-03-12T00:00:00"/>
    <s v="F"/>
    <x v="0"/>
    <x v="1"/>
    <x v="0"/>
    <x v="9"/>
    <x v="1"/>
    <x v="10"/>
    <x v="2"/>
  </r>
  <r>
    <s v="TX501889"/>
    <x v="16"/>
    <x v="9"/>
    <n v="67.599999999999994"/>
    <n v="338"/>
    <x v="69"/>
    <d v="2025-03-14T00:00:00"/>
    <s v="F"/>
    <x v="4"/>
    <x v="1"/>
    <x v="0"/>
    <x v="9"/>
    <x v="2"/>
    <x v="10"/>
    <x v="2"/>
  </r>
  <r>
    <s v="TX501890"/>
    <x v="15"/>
    <x v="0"/>
    <n v="46.3"/>
    <n v="46.3"/>
    <x v="69"/>
    <d v="2025-03-12T00:00:00"/>
    <s v="M"/>
    <x v="2"/>
    <x v="0"/>
    <x v="0"/>
    <x v="9"/>
    <x v="3"/>
    <x v="10"/>
    <x v="1"/>
  </r>
  <r>
    <s v="TX501891"/>
    <x v="1"/>
    <x v="2"/>
    <n v="124.2"/>
    <n v="372.6"/>
    <x v="69"/>
    <d v="2025-03-13T00:00:00"/>
    <s v="F"/>
    <x v="1"/>
    <x v="2"/>
    <x v="0"/>
    <x v="11"/>
    <x v="1"/>
    <x v="10"/>
    <x v="2"/>
  </r>
  <r>
    <s v="TX501892"/>
    <x v="10"/>
    <x v="1"/>
    <n v="37"/>
    <n v="74"/>
    <x v="69"/>
    <d v="2025-03-17T00:00:00"/>
    <s v="M"/>
    <x v="0"/>
    <x v="0"/>
    <x v="0"/>
    <x v="11"/>
    <x v="4"/>
    <x v="10"/>
    <x v="1"/>
  </r>
  <r>
    <s v="TX501893"/>
    <x v="5"/>
    <x v="0"/>
    <n v="41.8"/>
    <n v="41.8"/>
    <x v="69"/>
    <d v="2025-03-12T00:00:00"/>
    <s v="M"/>
    <x v="2"/>
    <x v="0"/>
    <x v="0"/>
    <x v="31"/>
    <x v="3"/>
    <x v="10"/>
    <x v="1"/>
  </r>
  <r>
    <s v="TX501894"/>
    <x v="9"/>
    <x v="1"/>
    <n v="57.2"/>
    <n v="114.4"/>
    <x v="69"/>
    <d v="2025-03-13T00:00:00"/>
    <s v="M"/>
    <x v="2"/>
    <x v="1"/>
    <x v="0"/>
    <x v="20"/>
    <x v="1"/>
    <x v="10"/>
    <x v="1"/>
  </r>
  <r>
    <s v="TX501895"/>
    <x v="6"/>
    <x v="1"/>
    <n v="47.1"/>
    <n v="94.2"/>
    <x v="69"/>
    <d v="2025-03-13T00:00:00"/>
    <s v="F"/>
    <x v="0"/>
    <x v="4"/>
    <x v="0"/>
    <x v="20"/>
    <x v="1"/>
    <x v="10"/>
    <x v="2"/>
  </r>
  <r>
    <s v="TX501896"/>
    <x v="5"/>
    <x v="2"/>
    <n v="86.4"/>
    <n v="259.20000000000005"/>
    <x v="69"/>
    <d v="2025-03-12T00:00:00"/>
    <s v="M"/>
    <x v="2"/>
    <x v="1"/>
    <x v="0"/>
    <x v="52"/>
    <x v="3"/>
    <x v="10"/>
    <x v="1"/>
  </r>
  <r>
    <s v="TX501897"/>
    <x v="6"/>
    <x v="9"/>
    <n v="105"/>
    <n v="525"/>
    <x v="69"/>
    <d v="2025-03-14T00:00:00"/>
    <s v="M"/>
    <x v="0"/>
    <x v="0"/>
    <x v="0"/>
    <x v="13"/>
    <x v="2"/>
    <x v="10"/>
    <x v="1"/>
  </r>
  <r>
    <s v="TX501898"/>
    <x v="18"/>
    <x v="0"/>
    <n v="33"/>
    <n v="33"/>
    <x v="69"/>
    <d v="2025-03-14T00:00:00"/>
    <s v="M"/>
    <x v="4"/>
    <x v="0"/>
    <x v="0"/>
    <x v="21"/>
    <x v="2"/>
    <x v="10"/>
    <x v="1"/>
  </r>
  <r>
    <s v="TX501899"/>
    <x v="6"/>
    <x v="9"/>
    <n v="106.6"/>
    <n v="533"/>
    <x v="69"/>
    <d v="2025-03-24T00:00:00"/>
    <s v="F"/>
    <x v="2"/>
    <x v="0"/>
    <x v="0"/>
    <x v="1"/>
    <x v="10"/>
    <x v="10"/>
    <x v="2"/>
  </r>
  <r>
    <s v="TX501900"/>
    <x v="10"/>
    <x v="46"/>
    <n v="26.8"/>
    <n v="857.6"/>
    <x v="69"/>
    <d v="2025-03-12T00:00:00"/>
    <s v="F"/>
    <x v="2"/>
    <x v="0"/>
    <x v="0"/>
    <x v="1"/>
    <x v="3"/>
    <x v="10"/>
    <x v="2"/>
  </r>
  <r>
    <s v="TX501901"/>
    <x v="17"/>
    <x v="9"/>
    <n v="25.8"/>
    <n v="129"/>
    <x v="69"/>
    <d v="2025-03-11T00:00:00"/>
    <s v="F"/>
    <x v="1"/>
    <x v="2"/>
    <x v="0"/>
    <x v="3"/>
    <x v="7"/>
    <x v="10"/>
    <x v="2"/>
  </r>
  <r>
    <s v="TX501902"/>
    <x v="2"/>
    <x v="2"/>
    <n v="217"/>
    <n v="651"/>
    <x v="69"/>
    <d v="2025-03-12T00:00:00"/>
    <s v="F"/>
    <x v="1"/>
    <x v="1"/>
    <x v="0"/>
    <x v="3"/>
    <x v="3"/>
    <x v="10"/>
    <x v="2"/>
  </r>
  <r>
    <s v="TX501903"/>
    <x v="2"/>
    <x v="1"/>
    <n v="97.3"/>
    <n v="194.6"/>
    <x v="69"/>
    <d v="2025-03-12T00:00:00"/>
    <s v="M"/>
    <x v="2"/>
    <x v="4"/>
    <x v="0"/>
    <x v="3"/>
    <x v="3"/>
    <x v="10"/>
    <x v="1"/>
  </r>
  <r>
    <s v="TX501904"/>
    <x v="1"/>
    <x v="0"/>
    <n v="49.8"/>
    <n v="49.8"/>
    <x v="69"/>
    <d v="2025-03-12T00:00:00"/>
    <s v="F"/>
    <x v="0"/>
    <x v="0"/>
    <x v="0"/>
    <x v="3"/>
    <x v="3"/>
    <x v="10"/>
    <x v="2"/>
  </r>
  <r>
    <s v="TX501905"/>
    <x v="12"/>
    <x v="9"/>
    <n v="32.6"/>
    <n v="163"/>
    <x v="69"/>
    <d v="2025-03-12T00:00:00"/>
    <s v="F"/>
    <x v="0"/>
    <x v="0"/>
    <x v="0"/>
    <x v="3"/>
    <x v="3"/>
    <x v="10"/>
    <x v="2"/>
  </r>
  <r>
    <s v="TX501906"/>
    <x v="9"/>
    <x v="1"/>
    <n v="40.1"/>
    <n v="80.2"/>
    <x v="69"/>
    <d v="2025-03-14T00:00:00"/>
    <s v="M"/>
    <x v="1"/>
    <x v="2"/>
    <x v="0"/>
    <x v="3"/>
    <x v="2"/>
    <x v="10"/>
    <x v="1"/>
  </r>
  <r>
    <s v="TX501907"/>
    <x v="10"/>
    <x v="1"/>
    <n v="49.4"/>
    <n v="98.8"/>
    <x v="69"/>
    <d v="2025-03-13T00:00:00"/>
    <s v="M"/>
    <x v="1"/>
    <x v="0"/>
    <x v="0"/>
    <x v="3"/>
    <x v="1"/>
    <x v="10"/>
    <x v="1"/>
  </r>
  <r>
    <s v="TX501908"/>
    <x v="2"/>
    <x v="0"/>
    <n v="67.3"/>
    <n v="67.3"/>
    <x v="69"/>
    <d v="2025-03-12T00:00:00"/>
    <s v="F"/>
    <x v="0"/>
    <x v="2"/>
    <x v="0"/>
    <x v="3"/>
    <x v="3"/>
    <x v="10"/>
    <x v="2"/>
  </r>
  <r>
    <s v="TX501909"/>
    <x v="18"/>
    <x v="12"/>
    <n v="44.5"/>
    <n v="178"/>
    <x v="69"/>
    <d v="2025-03-14T00:00:00"/>
    <s v=""/>
    <x v="1"/>
    <x v="0"/>
    <x v="0"/>
    <x v="3"/>
    <x v="2"/>
    <x v="10"/>
    <x v="0"/>
  </r>
  <r>
    <s v="TX501910"/>
    <x v="6"/>
    <x v="5"/>
    <n v="111.1"/>
    <n v="1222.0999999999999"/>
    <x v="69"/>
    <d v="2025-03-12T00:00:00"/>
    <s v="F"/>
    <x v="4"/>
    <x v="0"/>
    <x v="0"/>
    <x v="3"/>
    <x v="3"/>
    <x v="10"/>
    <x v="2"/>
  </r>
  <r>
    <s v="TX501911"/>
    <x v="8"/>
    <x v="2"/>
    <n v="19.7"/>
    <n v="59.099999999999994"/>
    <x v="69"/>
    <d v="2025-03-12T00:00:00"/>
    <s v="F"/>
    <x v="4"/>
    <x v="4"/>
    <x v="0"/>
    <x v="3"/>
    <x v="3"/>
    <x v="10"/>
    <x v="2"/>
  </r>
  <r>
    <s v="TX501912"/>
    <x v="1"/>
    <x v="0"/>
    <n v="40.299999999999997"/>
    <n v="40.299999999999997"/>
    <x v="69"/>
    <d v="2025-03-12T00:00:00"/>
    <s v="O"/>
    <x v="1"/>
    <x v="0"/>
    <x v="0"/>
    <x v="3"/>
    <x v="3"/>
    <x v="10"/>
    <x v="3"/>
  </r>
  <r>
    <s v="TX501913"/>
    <x v="6"/>
    <x v="1"/>
    <n v="108.8"/>
    <n v="217.6"/>
    <x v="69"/>
    <d v="2025-03-16T00:00:00"/>
    <s v="M"/>
    <x v="0"/>
    <x v="2"/>
    <x v="0"/>
    <x v="6"/>
    <x v="0"/>
    <x v="10"/>
    <x v="1"/>
  </r>
  <r>
    <s v="TX501914"/>
    <x v="8"/>
    <x v="2"/>
    <n v="48.2"/>
    <n v="144.60000000000002"/>
    <x v="69"/>
    <d v="2025-03-16T00:00:00"/>
    <s v="F"/>
    <x v="4"/>
    <x v="0"/>
    <x v="0"/>
    <x v="7"/>
    <x v="0"/>
    <x v="10"/>
    <x v="2"/>
  </r>
  <r>
    <s v="TX501915"/>
    <x v="2"/>
    <x v="2"/>
    <n v="104.7"/>
    <n v="314.10000000000002"/>
    <x v="69"/>
    <d v="2025-03-13T00:00:00"/>
    <s v="F"/>
    <x v="0"/>
    <x v="1"/>
    <x v="0"/>
    <x v="7"/>
    <x v="1"/>
    <x v="10"/>
    <x v="2"/>
  </r>
  <r>
    <s v="TX501916"/>
    <x v="1"/>
    <x v="1"/>
    <n v="80.599999999999994"/>
    <n v="161.19999999999999"/>
    <x v="69"/>
    <d v="2025-03-11T00:00:00"/>
    <s v="F"/>
    <x v="1"/>
    <x v="0"/>
    <x v="0"/>
    <x v="8"/>
    <x v="7"/>
    <x v="10"/>
    <x v="2"/>
  </r>
  <r>
    <s v="TX501917"/>
    <x v="6"/>
    <x v="0"/>
    <n v="65.5"/>
    <n v="65.5"/>
    <x v="69"/>
    <d v="2025-03-13T00:00:00"/>
    <s v="O"/>
    <x v="1"/>
    <x v="0"/>
    <x v="0"/>
    <x v="8"/>
    <x v="1"/>
    <x v="10"/>
    <x v="3"/>
  </r>
  <r>
    <s v="TX501918"/>
    <x v="9"/>
    <x v="2"/>
    <n v="61.4"/>
    <n v="184.2"/>
    <x v="69"/>
    <d v="2025-03-13T00:00:00"/>
    <s v="F"/>
    <x v="4"/>
    <x v="2"/>
    <x v="0"/>
    <x v="8"/>
    <x v="1"/>
    <x v="10"/>
    <x v="2"/>
  </r>
  <r>
    <s v="TX501919"/>
    <x v="0"/>
    <x v="0"/>
    <n v="12.5"/>
    <n v="12.5"/>
    <x v="70"/>
    <d v="2025-03-15T00:00:00"/>
    <s v="F"/>
    <x v="0"/>
    <x v="1"/>
    <x v="0"/>
    <x v="8"/>
    <x v="2"/>
    <x v="10"/>
    <x v="2"/>
  </r>
  <r>
    <s v="TX501920"/>
    <x v="4"/>
    <x v="12"/>
    <n v="35.1"/>
    <n v="140.4"/>
    <x v="70"/>
    <d v="2025-03-13T00:00:00"/>
    <s v="M"/>
    <x v="2"/>
    <x v="1"/>
    <x v="0"/>
    <x v="17"/>
    <x v="3"/>
    <x v="10"/>
    <x v="1"/>
  </r>
  <r>
    <s v="TX501921"/>
    <x v="5"/>
    <x v="1"/>
    <n v="55.7"/>
    <n v="111.4"/>
    <x v="70"/>
    <d v="2025-03-13T00:00:00"/>
    <s v="M"/>
    <x v="0"/>
    <x v="1"/>
    <x v="0"/>
    <x v="26"/>
    <x v="3"/>
    <x v="10"/>
    <x v="1"/>
  </r>
  <r>
    <s v="TX501922"/>
    <x v="7"/>
    <x v="1"/>
    <n v="57.7"/>
    <n v="115.4"/>
    <x v="70"/>
    <d v="2025-03-14T00:00:00"/>
    <s v="M"/>
    <x v="4"/>
    <x v="1"/>
    <x v="0"/>
    <x v="9"/>
    <x v="1"/>
    <x v="10"/>
    <x v="1"/>
  </r>
  <r>
    <s v="TX501923"/>
    <x v="2"/>
    <x v="13"/>
    <n v="85.7"/>
    <n v="514.20000000000005"/>
    <x v="70"/>
    <d v="2025-03-13T00:00:00"/>
    <s v="M"/>
    <x v="3"/>
    <x v="2"/>
    <x v="0"/>
    <x v="9"/>
    <x v="3"/>
    <x v="10"/>
    <x v="1"/>
  </r>
  <r>
    <s v="TX501924"/>
    <x v="2"/>
    <x v="2"/>
    <n v="86.9"/>
    <n v="260.70000000000005"/>
    <x v="70"/>
    <d v="2025-03-14T00:00:00"/>
    <s v="F"/>
    <x v="1"/>
    <x v="0"/>
    <x v="0"/>
    <x v="11"/>
    <x v="1"/>
    <x v="10"/>
    <x v="2"/>
  </r>
  <r>
    <s v="TX501925"/>
    <x v="18"/>
    <x v="1"/>
    <n v="46.4"/>
    <n v="92.8"/>
    <x v="70"/>
    <d v="2025-03-15T00:00:00"/>
    <s v="F"/>
    <x v="4"/>
    <x v="0"/>
    <x v="0"/>
    <x v="11"/>
    <x v="2"/>
    <x v="10"/>
    <x v="2"/>
  </r>
  <r>
    <s v="TX501926"/>
    <x v="5"/>
    <x v="2"/>
    <n v="25.4"/>
    <n v="76.199999999999989"/>
    <x v="70"/>
    <d v="2025-03-12T00:00:00"/>
    <s v="F"/>
    <x v="2"/>
    <x v="2"/>
    <x v="0"/>
    <x v="18"/>
    <x v="7"/>
    <x v="10"/>
    <x v="2"/>
  </r>
  <r>
    <s v="TX501927"/>
    <x v="10"/>
    <x v="2"/>
    <n v="47.8"/>
    <n v="143.39999999999998"/>
    <x v="70"/>
    <d v="2025-03-12T00:00:00"/>
    <s v=""/>
    <x v="2"/>
    <x v="2"/>
    <x v="0"/>
    <x v="19"/>
    <x v="7"/>
    <x v="10"/>
    <x v="0"/>
  </r>
  <r>
    <s v="TX501928"/>
    <x v="8"/>
    <x v="10"/>
    <n v="18.399999999999999"/>
    <n v="349.59999999999997"/>
    <x v="70"/>
    <d v="2025-03-14T00:00:00"/>
    <s v="O"/>
    <x v="2"/>
    <x v="0"/>
    <x v="0"/>
    <x v="20"/>
    <x v="1"/>
    <x v="10"/>
    <x v="3"/>
  </r>
  <r>
    <s v="TX501929"/>
    <x v="12"/>
    <x v="2"/>
    <n v="65.5"/>
    <n v="196.5"/>
    <x v="70"/>
    <d v="2025-03-20T00:00:00"/>
    <s v="F"/>
    <x v="0"/>
    <x v="0"/>
    <x v="0"/>
    <x v="21"/>
    <x v="9"/>
    <x v="10"/>
    <x v="2"/>
  </r>
  <r>
    <s v="TX501930"/>
    <x v="10"/>
    <x v="1"/>
    <n v="50.6"/>
    <n v="101.2"/>
    <x v="70"/>
    <d v="2025-03-15T00:00:00"/>
    <s v="M"/>
    <x v="2"/>
    <x v="4"/>
    <x v="0"/>
    <x v="21"/>
    <x v="2"/>
    <x v="10"/>
    <x v="1"/>
  </r>
  <r>
    <s v="TX501931"/>
    <x v="3"/>
    <x v="9"/>
    <n v="69"/>
    <n v="345"/>
    <x v="70"/>
    <d v="2025-03-16T00:00:00"/>
    <s v="M"/>
    <x v="3"/>
    <x v="0"/>
    <x v="0"/>
    <x v="21"/>
    <x v="5"/>
    <x v="10"/>
    <x v="1"/>
  </r>
  <r>
    <s v="TX501932"/>
    <x v="9"/>
    <x v="8"/>
    <n v="51.1"/>
    <n v="408.8"/>
    <x v="70"/>
    <d v="2025-03-14T00:00:00"/>
    <s v="F"/>
    <x v="0"/>
    <x v="0"/>
    <x v="0"/>
    <x v="1"/>
    <x v="1"/>
    <x v="10"/>
    <x v="2"/>
  </r>
  <r>
    <s v="TX501933"/>
    <x v="9"/>
    <x v="0"/>
    <n v="36.1"/>
    <n v="36.1"/>
    <x v="70"/>
    <d v="2025-03-13T00:00:00"/>
    <s v="F"/>
    <x v="0"/>
    <x v="2"/>
    <x v="0"/>
    <x v="34"/>
    <x v="3"/>
    <x v="10"/>
    <x v="2"/>
  </r>
  <r>
    <s v="TX501934"/>
    <x v="14"/>
    <x v="0"/>
    <n v="18.7"/>
    <n v="18.7"/>
    <x v="70"/>
    <d v="2025-03-13T00:00:00"/>
    <s v="M"/>
    <x v="0"/>
    <x v="0"/>
    <x v="0"/>
    <x v="3"/>
    <x v="3"/>
    <x v="10"/>
    <x v="1"/>
  </r>
  <r>
    <s v="TX501935"/>
    <x v="17"/>
    <x v="0"/>
    <n v="30.1"/>
    <n v="30.1"/>
    <x v="70"/>
    <d v="2025-03-15T00:00:00"/>
    <s v="F"/>
    <x v="3"/>
    <x v="1"/>
    <x v="0"/>
    <x v="3"/>
    <x v="2"/>
    <x v="10"/>
    <x v="2"/>
  </r>
  <r>
    <s v="TX501936"/>
    <x v="8"/>
    <x v="0"/>
    <n v="16.3"/>
    <n v="16.3"/>
    <x v="70"/>
    <d v="2025-03-13T00:00:00"/>
    <s v="M"/>
    <x v="3"/>
    <x v="0"/>
    <x v="0"/>
    <x v="3"/>
    <x v="3"/>
    <x v="10"/>
    <x v="1"/>
  </r>
  <r>
    <s v="TX501937"/>
    <x v="1"/>
    <x v="2"/>
    <n v="63.8"/>
    <n v="191.39999999999998"/>
    <x v="70"/>
    <d v="2025-03-17T00:00:00"/>
    <s v="F"/>
    <x v="2"/>
    <x v="1"/>
    <x v="0"/>
    <x v="3"/>
    <x v="0"/>
    <x v="10"/>
    <x v="2"/>
  </r>
  <r>
    <s v="TX501938"/>
    <x v="1"/>
    <x v="3"/>
    <n v="73.900000000000006"/>
    <n v="517.30000000000007"/>
    <x v="70"/>
    <d v="2025-03-12T00:00:00"/>
    <s v="F"/>
    <x v="0"/>
    <x v="1"/>
    <x v="0"/>
    <x v="3"/>
    <x v="7"/>
    <x v="10"/>
    <x v="2"/>
  </r>
  <r>
    <s v="TX501939"/>
    <x v="0"/>
    <x v="1"/>
    <n v="20.2"/>
    <n v="40.4"/>
    <x v="70"/>
    <d v="2025-03-13T00:00:00"/>
    <s v="M"/>
    <x v="0"/>
    <x v="1"/>
    <x v="0"/>
    <x v="3"/>
    <x v="3"/>
    <x v="10"/>
    <x v="1"/>
  </r>
  <r>
    <s v="TX501940"/>
    <x v="11"/>
    <x v="5"/>
    <n v="29.5"/>
    <n v="324.5"/>
    <x v="70"/>
    <d v="2025-03-13T00:00:00"/>
    <s v="M"/>
    <x v="0"/>
    <x v="0"/>
    <x v="0"/>
    <x v="3"/>
    <x v="3"/>
    <x v="10"/>
    <x v="1"/>
  </r>
  <r>
    <s v="TX501941"/>
    <x v="15"/>
    <x v="3"/>
    <n v="37.9"/>
    <n v="265.3"/>
    <x v="70"/>
    <d v="2025-03-13T00:00:00"/>
    <s v="M"/>
    <x v="1"/>
    <x v="0"/>
    <x v="0"/>
    <x v="3"/>
    <x v="3"/>
    <x v="10"/>
    <x v="1"/>
  </r>
  <r>
    <s v="TX501942"/>
    <x v="2"/>
    <x v="0"/>
    <n v="56.5"/>
    <n v="56.5"/>
    <x v="70"/>
    <d v="2025-03-13T00:00:00"/>
    <s v="F"/>
    <x v="2"/>
    <x v="1"/>
    <x v="0"/>
    <x v="3"/>
    <x v="3"/>
    <x v="10"/>
    <x v="2"/>
  </r>
  <r>
    <s v="TX501943"/>
    <x v="2"/>
    <x v="1"/>
    <n v="66.900000000000006"/>
    <n v="133.80000000000001"/>
    <x v="70"/>
    <d v="2025-03-18T00:00:00"/>
    <s v="M"/>
    <x v="1"/>
    <x v="4"/>
    <x v="0"/>
    <x v="25"/>
    <x v="4"/>
    <x v="10"/>
    <x v="1"/>
  </r>
  <r>
    <s v="TX501944"/>
    <x v="2"/>
    <x v="9"/>
    <n v="51.9"/>
    <n v="259.5"/>
    <x v="70"/>
    <d v="2025-03-15T00:00:00"/>
    <s v="M"/>
    <x v="1"/>
    <x v="0"/>
    <x v="0"/>
    <x v="7"/>
    <x v="2"/>
    <x v="10"/>
    <x v="1"/>
  </r>
  <r>
    <s v="TX501945"/>
    <x v="2"/>
    <x v="1"/>
    <n v="75.599999999999994"/>
    <n v="151.19999999999999"/>
    <x v="70"/>
    <d v="2025-03-15T00:00:00"/>
    <s v="M"/>
    <x v="1"/>
    <x v="0"/>
    <x v="0"/>
    <x v="8"/>
    <x v="2"/>
    <x v="10"/>
    <x v="1"/>
  </r>
  <r>
    <s v="TX501946"/>
    <x v="12"/>
    <x v="13"/>
    <n v="47.3"/>
    <n v="283.79999999999995"/>
    <x v="70"/>
    <d v="2025-03-23T00:00:00"/>
    <s v="M"/>
    <x v="0"/>
    <x v="0"/>
    <x v="0"/>
    <x v="8"/>
    <x v="11"/>
    <x v="10"/>
    <x v="1"/>
  </r>
  <r>
    <s v="TX501947"/>
    <x v="4"/>
    <x v="0"/>
    <n v="20.6"/>
    <n v="20.6"/>
    <x v="70"/>
    <d v="2025-03-13T00:00:00"/>
    <s v=""/>
    <x v="0"/>
    <x v="1"/>
    <x v="0"/>
    <x v="8"/>
    <x v="3"/>
    <x v="10"/>
    <x v="0"/>
  </r>
  <r>
    <s v="TX501948"/>
    <x v="6"/>
    <x v="2"/>
    <n v="49.7"/>
    <n v="149.10000000000002"/>
    <x v="70"/>
    <d v="2025-03-14T00:00:00"/>
    <s v="M"/>
    <x v="0"/>
    <x v="1"/>
    <x v="0"/>
    <x v="8"/>
    <x v="1"/>
    <x v="10"/>
    <x v="1"/>
  </r>
  <r>
    <s v="TX501949"/>
    <x v="3"/>
    <x v="0"/>
    <n v="37.9"/>
    <n v="37.9"/>
    <x v="70"/>
    <d v="2025-03-14T00:00:00"/>
    <s v="F"/>
    <x v="0"/>
    <x v="0"/>
    <x v="0"/>
    <x v="8"/>
    <x v="1"/>
    <x v="10"/>
    <x v="2"/>
  </r>
  <r>
    <s v="TX501950"/>
    <x v="13"/>
    <x v="20"/>
    <n v="32"/>
    <n v="480"/>
    <x v="70"/>
    <d v="2025-03-14T00:00:00"/>
    <s v="F"/>
    <x v="4"/>
    <x v="0"/>
    <x v="0"/>
    <x v="11"/>
    <x v="1"/>
    <x v="10"/>
    <x v="2"/>
  </r>
  <r>
    <s v="TX501951"/>
    <x v="10"/>
    <x v="16"/>
    <n v="38.5"/>
    <n v="693"/>
    <x v="71"/>
    <d v="2025-03-14T00:00:00"/>
    <s v="M"/>
    <x v="0"/>
    <x v="2"/>
    <x v="0"/>
    <x v="11"/>
    <x v="3"/>
    <x v="10"/>
    <x v="1"/>
  </r>
  <r>
    <s v="TX501952"/>
    <x v="0"/>
    <x v="12"/>
    <n v="11.7"/>
    <n v="46.8"/>
    <x v="71"/>
    <d v="2025-03-15T00:00:00"/>
    <s v="F"/>
    <x v="1"/>
    <x v="0"/>
    <x v="0"/>
    <x v="20"/>
    <x v="1"/>
    <x v="10"/>
    <x v="2"/>
  </r>
  <r>
    <s v="TX501953"/>
    <x v="3"/>
    <x v="13"/>
    <n v="83.8"/>
    <n v="502.79999999999995"/>
    <x v="71"/>
    <d v="2025-03-14T00:00:00"/>
    <s v="M"/>
    <x v="0"/>
    <x v="0"/>
    <x v="0"/>
    <x v="21"/>
    <x v="3"/>
    <x v="10"/>
    <x v="1"/>
  </r>
  <r>
    <s v="TX501954"/>
    <x v="0"/>
    <x v="3"/>
    <n v="14"/>
    <n v="98"/>
    <x v="71"/>
    <d v="2025-03-16T00:00:00"/>
    <s v="M"/>
    <x v="0"/>
    <x v="1"/>
    <x v="0"/>
    <x v="22"/>
    <x v="2"/>
    <x v="10"/>
    <x v="1"/>
  </r>
  <r>
    <s v="TX501955"/>
    <x v="16"/>
    <x v="12"/>
    <n v="77.3"/>
    <n v="309.2"/>
    <x v="71"/>
    <d v="2025-03-15T00:00:00"/>
    <s v="F"/>
    <x v="4"/>
    <x v="2"/>
    <x v="0"/>
    <x v="3"/>
    <x v="1"/>
    <x v="10"/>
    <x v="2"/>
  </r>
  <r>
    <s v="TX501956"/>
    <x v="2"/>
    <x v="1"/>
    <n v="76.900000000000006"/>
    <n v="153.80000000000001"/>
    <x v="71"/>
    <d v="2025-03-17T00:00:00"/>
    <s v="F"/>
    <x v="0"/>
    <x v="1"/>
    <x v="0"/>
    <x v="3"/>
    <x v="5"/>
    <x v="10"/>
    <x v="2"/>
  </r>
  <r>
    <s v="TX501957"/>
    <x v="1"/>
    <x v="0"/>
    <n v="48"/>
    <n v="48"/>
    <x v="71"/>
    <d v="2025-03-15T00:00:00"/>
    <s v="F"/>
    <x v="1"/>
    <x v="2"/>
    <x v="0"/>
    <x v="3"/>
    <x v="1"/>
    <x v="10"/>
    <x v="2"/>
  </r>
  <r>
    <s v="TX501958"/>
    <x v="2"/>
    <x v="0"/>
    <n v="94.5"/>
    <n v="94.5"/>
    <x v="71"/>
    <d v="2025-03-16T00:00:00"/>
    <s v="M"/>
    <x v="1"/>
    <x v="1"/>
    <x v="0"/>
    <x v="3"/>
    <x v="2"/>
    <x v="10"/>
    <x v="1"/>
  </r>
  <r>
    <s v="TX501959"/>
    <x v="10"/>
    <x v="2"/>
    <n v="58.4"/>
    <n v="175.2"/>
    <x v="71"/>
    <d v="2025-03-15T00:00:00"/>
    <s v="F"/>
    <x v="1"/>
    <x v="2"/>
    <x v="0"/>
    <x v="3"/>
    <x v="1"/>
    <x v="10"/>
    <x v="2"/>
  </r>
  <r>
    <s v="TX501960"/>
    <x v="7"/>
    <x v="15"/>
    <n v="42.2"/>
    <n v="548.6"/>
    <x v="71"/>
    <d v="2025-03-13T00:00:00"/>
    <s v="M"/>
    <x v="0"/>
    <x v="0"/>
    <x v="0"/>
    <x v="25"/>
    <x v="7"/>
    <x v="10"/>
    <x v="1"/>
  </r>
  <r>
    <s v="TX501961"/>
    <x v="6"/>
    <x v="1"/>
    <n v="152.19999999999999"/>
    <n v="304.39999999999998"/>
    <x v="71"/>
    <d v="2025-03-14T00:00:00"/>
    <s v="M"/>
    <x v="4"/>
    <x v="1"/>
    <x v="0"/>
    <x v="25"/>
    <x v="3"/>
    <x v="10"/>
    <x v="1"/>
  </r>
  <r>
    <s v="TX501962"/>
    <x v="6"/>
    <x v="25"/>
    <n v="72"/>
    <n v="1728"/>
    <x v="71"/>
    <d v="2025-03-14T00:00:00"/>
    <s v="M"/>
    <x v="0"/>
    <x v="1"/>
    <x v="0"/>
    <x v="6"/>
    <x v="3"/>
    <x v="10"/>
    <x v="1"/>
  </r>
  <r>
    <s v="TX501963"/>
    <x v="1"/>
    <x v="44"/>
    <n v="70.900000000000006"/>
    <n v="1630.7"/>
    <x v="71"/>
    <d v="2025-03-14T00:00:00"/>
    <s v="F"/>
    <x v="2"/>
    <x v="0"/>
    <x v="0"/>
    <x v="8"/>
    <x v="3"/>
    <x v="10"/>
    <x v="2"/>
  </r>
  <r>
    <s v="TX501964"/>
    <x v="2"/>
    <x v="1"/>
    <n v="53.7"/>
    <n v="107.4"/>
    <x v="71"/>
    <d v="2025-03-14T00:00:00"/>
    <s v="M"/>
    <x v="2"/>
    <x v="2"/>
    <x v="0"/>
    <x v="8"/>
    <x v="3"/>
    <x v="10"/>
    <x v="1"/>
  </r>
  <r>
    <s v="TX501965"/>
    <x v="9"/>
    <x v="12"/>
    <n v="42.9"/>
    <n v="171.6"/>
    <x v="71"/>
    <d v="2025-03-14T00:00:00"/>
    <s v="F"/>
    <x v="2"/>
    <x v="4"/>
    <x v="0"/>
    <x v="9"/>
    <x v="3"/>
    <x v="10"/>
    <x v="2"/>
  </r>
  <r>
    <s v="TX501966"/>
    <x v="2"/>
    <x v="3"/>
    <n v="107.5"/>
    <n v="752.5"/>
    <x v="71"/>
    <d v="2025-03-14T00:00:00"/>
    <s v="M"/>
    <x v="1"/>
    <x v="0"/>
    <x v="0"/>
    <x v="11"/>
    <x v="3"/>
    <x v="10"/>
    <x v="1"/>
  </r>
  <r>
    <s v="TX501967"/>
    <x v="17"/>
    <x v="27"/>
    <n v="21.5"/>
    <n v="344"/>
    <x v="71"/>
    <d v="2025-03-14T00:00:00"/>
    <s v="M"/>
    <x v="1"/>
    <x v="1"/>
    <x v="0"/>
    <x v="32"/>
    <x v="3"/>
    <x v="10"/>
    <x v="1"/>
  </r>
  <r>
    <s v="TX501968"/>
    <x v="3"/>
    <x v="9"/>
    <n v="85.3"/>
    <n v="426.5"/>
    <x v="71"/>
    <d v="2025-03-15T00:00:00"/>
    <s v="F"/>
    <x v="3"/>
    <x v="0"/>
    <x v="0"/>
    <x v="18"/>
    <x v="1"/>
    <x v="10"/>
    <x v="2"/>
  </r>
  <r>
    <s v="TX501969"/>
    <x v="7"/>
    <x v="9"/>
    <n v="80.8"/>
    <n v="404"/>
    <x v="71"/>
    <d v="2025-03-21T00:00:00"/>
    <s v="O"/>
    <x v="1"/>
    <x v="1"/>
    <x v="0"/>
    <x v="19"/>
    <x v="9"/>
    <x v="10"/>
    <x v="3"/>
  </r>
  <r>
    <s v="TX501970"/>
    <x v="2"/>
    <x v="2"/>
    <n v="123.1"/>
    <n v="369.29999999999995"/>
    <x v="71"/>
    <d v="2025-03-15T00:00:00"/>
    <s v=""/>
    <x v="2"/>
    <x v="0"/>
    <x v="0"/>
    <x v="21"/>
    <x v="1"/>
    <x v="10"/>
    <x v="0"/>
  </r>
  <r>
    <s v="TX501971"/>
    <x v="8"/>
    <x v="1"/>
    <n v="36.9"/>
    <n v="73.8"/>
    <x v="71"/>
    <d v="2025-03-15T00:00:00"/>
    <s v="F"/>
    <x v="2"/>
    <x v="4"/>
    <x v="0"/>
    <x v="51"/>
    <x v="1"/>
    <x v="10"/>
    <x v="2"/>
  </r>
  <r>
    <s v="TX501972"/>
    <x v="11"/>
    <x v="9"/>
    <n v="40"/>
    <n v="200"/>
    <x v="71"/>
    <d v="2025-03-14T00:00:00"/>
    <s v="M"/>
    <x v="0"/>
    <x v="0"/>
    <x v="0"/>
    <x v="1"/>
    <x v="3"/>
    <x v="10"/>
    <x v="1"/>
  </r>
  <r>
    <s v="TX501973"/>
    <x v="6"/>
    <x v="2"/>
    <n v="55.5"/>
    <n v="166.5"/>
    <x v="71"/>
    <d v="2025-03-14T00:00:00"/>
    <s v="M"/>
    <x v="4"/>
    <x v="2"/>
    <x v="0"/>
    <x v="1"/>
    <x v="3"/>
    <x v="10"/>
    <x v="1"/>
  </r>
  <r>
    <s v="TX501974"/>
    <x v="0"/>
    <x v="12"/>
    <n v="20.5"/>
    <n v="82"/>
    <x v="71"/>
    <d v="2025-03-17T00:00:00"/>
    <s v="F"/>
    <x v="4"/>
    <x v="0"/>
    <x v="0"/>
    <x v="1"/>
    <x v="5"/>
    <x v="10"/>
    <x v="2"/>
  </r>
  <r>
    <s v="TX501975"/>
    <x v="18"/>
    <x v="12"/>
    <n v="50.1"/>
    <n v="200.4"/>
    <x v="71"/>
    <d v="2025-03-14T00:00:00"/>
    <s v="F"/>
    <x v="4"/>
    <x v="0"/>
    <x v="0"/>
    <x v="1"/>
    <x v="3"/>
    <x v="10"/>
    <x v="2"/>
  </r>
  <r>
    <s v="TX501976"/>
    <x v="9"/>
    <x v="0"/>
    <n v="35.9"/>
    <n v="35.9"/>
    <x v="71"/>
    <d v="2025-03-15T00:00:00"/>
    <s v="M"/>
    <x v="1"/>
    <x v="2"/>
    <x v="0"/>
    <x v="1"/>
    <x v="1"/>
    <x v="10"/>
    <x v="1"/>
  </r>
  <r>
    <s v="TX501977"/>
    <x v="13"/>
    <x v="12"/>
    <n v="29.4"/>
    <n v="117.6"/>
    <x v="72"/>
    <d v="2025-03-15T00:00:00"/>
    <s v="M"/>
    <x v="2"/>
    <x v="2"/>
    <x v="0"/>
    <x v="33"/>
    <x v="3"/>
    <x v="10"/>
    <x v="1"/>
  </r>
  <r>
    <s v="TX501978"/>
    <x v="8"/>
    <x v="9"/>
    <n v="29.1"/>
    <n v="145.5"/>
    <x v="72"/>
    <d v="2025-03-22T00:00:00"/>
    <s v="O"/>
    <x v="2"/>
    <x v="1"/>
    <x v="0"/>
    <x v="33"/>
    <x v="9"/>
    <x v="10"/>
    <x v="3"/>
  </r>
  <r>
    <s v="TX501979"/>
    <x v="8"/>
    <x v="2"/>
    <n v="33.5"/>
    <n v="100.5"/>
    <x v="72"/>
    <d v="2025-03-26T00:00:00"/>
    <s v="M"/>
    <x v="0"/>
    <x v="2"/>
    <x v="0"/>
    <x v="22"/>
    <x v="13"/>
    <x v="10"/>
    <x v="1"/>
  </r>
  <r>
    <s v="TX501980"/>
    <x v="4"/>
    <x v="7"/>
    <n v="36"/>
    <n v="360"/>
    <x v="72"/>
    <d v="2025-03-14T00:00:00"/>
    <s v="M"/>
    <x v="3"/>
    <x v="2"/>
    <x v="0"/>
    <x v="3"/>
    <x v="7"/>
    <x v="10"/>
    <x v="1"/>
  </r>
  <r>
    <s v="TX501981"/>
    <x v="16"/>
    <x v="2"/>
    <n v="57.3"/>
    <n v="171.89999999999998"/>
    <x v="72"/>
    <d v="2025-03-18T00:00:00"/>
    <s v="F"/>
    <x v="0"/>
    <x v="2"/>
    <x v="0"/>
    <x v="3"/>
    <x v="5"/>
    <x v="10"/>
    <x v="2"/>
  </r>
  <r>
    <s v="TX501982"/>
    <x v="1"/>
    <x v="0"/>
    <n v="81.400000000000006"/>
    <n v="81.400000000000006"/>
    <x v="72"/>
    <d v="2025-03-15T00:00:00"/>
    <s v="F"/>
    <x v="2"/>
    <x v="2"/>
    <x v="0"/>
    <x v="3"/>
    <x v="3"/>
    <x v="10"/>
    <x v="2"/>
  </r>
  <r>
    <s v="TX501983"/>
    <x v="10"/>
    <x v="1"/>
    <n v="35.299999999999997"/>
    <n v="70.599999999999994"/>
    <x v="72"/>
    <d v="2025-03-18T00:00:00"/>
    <s v="M"/>
    <x v="0"/>
    <x v="2"/>
    <x v="0"/>
    <x v="3"/>
    <x v="5"/>
    <x v="10"/>
    <x v="1"/>
  </r>
  <r>
    <s v="TX501984"/>
    <x v="3"/>
    <x v="0"/>
    <n v="36.1"/>
    <n v="36.1"/>
    <x v="72"/>
    <d v="2025-03-15T00:00:00"/>
    <s v="F"/>
    <x v="4"/>
    <x v="0"/>
    <x v="0"/>
    <x v="3"/>
    <x v="3"/>
    <x v="10"/>
    <x v="2"/>
  </r>
  <r>
    <s v="TX501985"/>
    <x v="1"/>
    <x v="1"/>
    <n v="36.700000000000003"/>
    <n v="73.400000000000006"/>
    <x v="72"/>
    <d v="2025-03-16T00:00:00"/>
    <s v="F"/>
    <x v="0"/>
    <x v="2"/>
    <x v="0"/>
    <x v="3"/>
    <x v="1"/>
    <x v="10"/>
    <x v="2"/>
  </r>
  <r>
    <s v="TX501986"/>
    <x v="10"/>
    <x v="0"/>
    <n v="20.9"/>
    <n v="20.9"/>
    <x v="72"/>
    <d v="2025-03-16T00:00:00"/>
    <s v="F"/>
    <x v="0"/>
    <x v="4"/>
    <x v="0"/>
    <x v="3"/>
    <x v="1"/>
    <x v="10"/>
    <x v="2"/>
  </r>
  <r>
    <s v="TX501987"/>
    <x v="12"/>
    <x v="2"/>
    <n v="58.8"/>
    <n v="176.39999999999998"/>
    <x v="72"/>
    <d v="2025-03-18T00:00:00"/>
    <s v="M"/>
    <x v="0"/>
    <x v="2"/>
    <x v="0"/>
    <x v="25"/>
    <x v="5"/>
    <x v="10"/>
    <x v="1"/>
  </r>
  <r>
    <s v="TX501988"/>
    <x v="2"/>
    <x v="2"/>
    <n v="97.6"/>
    <n v="292.79999999999995"/>
    <x v="73"/>
    <d v="2025-03-17T00:00:00"/>
    <s v=""/>
    <x v="0"/>
    <x v="0"/>
    <x v="0"/>
    <x v="6"/>
    <x v="1"/>
    <x v="10"/>
    <x v="0"/>
  </r>
  <r>
    <s v="TX501989"/>
    <x v="1"/>
    <x v="1"/>
    <n v="58.7"/>
    <n v="117.4"/>
    <x v="73"/>
    <d v="2025-03-18T00:00:00"/>
    <s v="F"/>
    <x v="0"/>
    <x v="1"/>
    <x v="0"/>
    <x v="6"/>
    <x v="2"/>
    <x v="10"/>
    <x v="2"/>
  </r>
  <r>
    <s v="TX501990"/>
    <x v="6"/>
    <x v="9"/>
    <n v="71.900000000000006"/>
    <n v="359.5"/>
    <x v="73"/>
    <d v="2025-03-16T00:00:00"/>
    <s v=""/>
    <x v="0"/>
    <x v="1"/>
    <x v="0"/>
    <x v="6"/>
    <x v="3"/>
    <x v="10"/>
    <x v="0"/>
  </r>
  <r>
    <s v="TX501991"/>
    <x v="1"/>
    <x v="1"/>
    <n v="62.4"/>
    <n v="124.8"/>
    <x v="73"/>
    <d v="2025-03-17T00:00:00"/>
    <s v=""/>
    <x v="0"/>
    <x v="1"/>
    <x v="0"/>
    <x v="8"/>
    <x v="1"/>
    <x v="10"/>
    <x v="0"/>
  </r>
  <r>
    <s v="TX501992"/>
    <x v="6"/>
    <x v="27"/>
    <n v="53.8"/>
    <n v="860.8"/>
    <x v="73"/>
    <d v="2025-03-16T00:00:00"/>
    <s v="F"/>
    <x v="1"/>
    <x v="0"/>
    <x v="0"/>
    <x v="8"/>
    <x v="3"/>
    <x v="10"/>
    <x v="2"/>
  </r>
  <r>
    <s v="TX501993"/>
    <x v="9"/>
    <x v="0"/>
    <n v="43.8"/>
    <n v="43.8"/>
    <x v="73"/>
    <d v="2025-03-22T00:00:00"/>
    <s v="F"/>
    <x v="0"/>
    <x v="2"/>
    <x v="0"/>
    <x v="8"/>
    <x v="6"/>
    <x v="10"/>
    <x v="2"/>
  </r>
  <r>
    <s v="TX501994"/>
    <x v="5"/>
    <x v="2"/>
    <n v="53.6"/>
    <n v="160.80000000000001"/>
    <x v="73"/>
    <d v="2025-03-16T00:00:00"/>
    <s v="M"/>
    <x v="3"/>
    <x v="0"/>
    <x v="0"/>
    <x v="8"/>
    <x v="3"/>
    <x v="10"/>
    <x v="1"/>
  </r>
  <r>
    <s v="TX501995"/>
    <x v="12"/>
    <x v="1"/>
    <n v="84.3"/>
    <n v="168.6"/>
    <x v="73"/>
    <d v="2025-03-18T00:00:00"/>
    <s v="M"/>
    <x v="4"/>
    <x v="1"/>
    <x v="0"/>
    <x v="8"/>
    <x v="2"/>
    <x v="10"/>
    <x v="1"/>
  </r>
  <r>
    <s v="TX501996"/>
    <x v="6"/>
    <x v="11"/>
    <n v="117.9"/>
    <n v="1061.1000000000001"/>
    <x v="73"/>
    <d v="2025-03-16T00:00:00"/>
    <s v="F"/>
    <x v="1"/>
    <x v="2"/>
    <x v="0"/>
    <x v="8"/>
    <x v="3"/>
    <x v="10"/>
    <x v="2"/>
  </r>
  <r>
    <s v="TX501997"/>
    <x v="4"/>
    <x v="8"/>
    <n v="30"/>
    <n v="240"/>
    <x v="73"/>
    <d v="2025-03-16T00:00:00"/>
    <s v="F"/>
    <x v="1"/>
    <x v="0"/>
    <x v="0"/>
    <x v="26"/>
    <x v="3"/>
    <x v="10"/>
    <x v="2"/>
  </r>
  <r>
    <s v="TX501998"/>
    <x v="14"/>
    <x v="2"/>
    <n v="37.299999999999997"/>
    <n v="111.89999999999999"/>
    <x v="73"/>
    <d v="2025-03-16T00:00:00"/>
    <s v="M"/>
    <x v="2"/>
    <x v="0"/>
    <x v="0"/>
    <x v="9"/>
    <x v="3"/>
    <x v="10"/>
    <x v="1"/>
  </r>
  <r>
    <s v="TX501999"/>
    <x v="4"/>
    <x v="11"/>
    <n v="25.1"/>
    <n v="225.9"/>
    <x v="73"/>
    <d v="2025-03-17T00:00:00"/>
    <s v="M"/>
    <x v="1"/>
    <x v="2"/>
    <x v="0"/>
    <x v="11"/>
    <x v="1"/>
    <x v="10"/>
    <x v="1"/>
  </r>
  <r>
    <s v="TX502000"/>
    <x v="8"/>
    <x v="5"/>
    <n v="36"/>
    <n v="396"/>
    <x v="73"/>
    <d v="2025-03-25T00:00:00"/>
    <s v="M"/>
    <x v="1"/>
    <x v="0"/>
    <x v="0"/>
    <x v="18"/>
    <x v="14"/>
    <x v="10"/>
    <x v="1"/>
  </r>
  <r>
    <s v="TX502001"/>
    <x v="16"/>
    <x v="2"/>
    <n v="48.5"/>
    <n v="145.5"/>
    <x v="73"/>
    <d v="2025-03-19T00:00:00"/>
    <s v="F"/>
    <x v="1"/>
    <x v="0"/>
    <x v="0"/>
    <x v="19"/>
    <x v="5"/>
    <x v="10"/>
    <x v="2"/>
  </r>
  <r>
    <s v="TX502002"/>
    <x v="17"/>
    <x v="13"/>
    <n v="21.1"/>
    <n v="126.60000000000001"/>
    <x v="73"/>
    <d v="2025-03-16T00:00:00"/>
    <s v="M"/>
    <x v="1"/>
    <x v="2"/>
    <x v="0"/>
    <x v="21"/>
    <x v="3"/>
    <x v="10"/>
    <x v="1"/>
  </r>
  <r>
    <s v="TX502003"/>
    <x v="15"/>
    <x v="21"/>
    <n v="43.2"/>
    <n v="604.80000000000007"/>
    <x v="73"/>
    <d v="2025-03-16T00:00:00"/>
    <s v="O"/>
    <x v="0"/>
    <x v="1"/>
    <x v="0"/>
    <x v="21"/>
    <x v="3"/>
    <x v="10"/>
    <x v="3"/>
  </r>
  <r>
    <s v="TX502004"/>
    <x v="9"/>
    <x v="1"/>
    <n v="21.1"/>
    <n v="42.2"/>
    <x v="73"/>
    <d v="2025-03-16T00:00:00"/>
    <s v=""/>
    <x v="3"/>
    <x v="1"/>
    <x v="0"/>
    <x v="21"/>
    <x v="3"/>
    <x v="10"/>
    <x v="0"/>
  </r>
  <r>
    <s v="TX502005"/>
    <x v="6"/>
    <x v="12"/>
    <n v="41.3"/>
    <n v="165.2"/>
    <x v="73"/>
    <d v="2025-03-17T00:00:00"/>
    <s v="F"/>
    <x v="3"/>
    <x v="2"/>
    <x v="0"/>
    <x v="1"/>
    <x v="1"/>
    <x v="10"/>
    <x v="2"/>
  </r>
  <r>
    <s v="TX502006"/>
    <x v="8"/>
    <x v="1"/>
    <n v="15.3"/>
    <n v="30.6"/>
    <x v="73"/>
    <d v="2025-03-18T00:00:00"/>
    <s v=""/>
    <x v="2"/>
    <x v="2"/>
    <x v="0"/>
    <x v="1"/>
    <x v="2"/>
    <x v="10"/>
    <x v="0"/>
  </r>
  <r>
    <s v="TX502007"/>
    <x v="1"/>
    <x v="0"/>
    <n v="54.6"/>
    <n v="54.6"/>
    <x v="73"/>
    <d v="2025-03-17T00:00:00"/>
    <s v="M"/>
    <x v="1"/>
    <x v="1"/>
    <x v="0"/>
    <x v="2"/>
    <x v="1"/>
    <x v="10"/>
    <x v="1"/>
  </r>
  <r>
    <s v="TX502008"/>
    <x v="8"/>
    <x v="0"/>
    <n v="15.9"/>
    <n v="15.9"/>
    <x v="73"/>
    <d v="2025-03-16T00:00:00"/>
    <s v="M"/>
    <x v="0"/>
    <x v="1"/>
    <x v="0"/>
    <x v="22"/>
    <x v="3"/>
    <x v="10"/>
    <x v="1"/>
  </r>
  <r>
    <s v="TX502009"/>
    <x v="9"/>
    <x v="0"/>
    <n v="50.2"/>
    <n v="50.2"/>
    <x v="73"/>
    <d v="2025-03-17T00:00:00"/>
    <s v="F"/>
    <x v="3"/>
    <x v="2"/>
    <x v="0"/>
    <x v="34"/>
    <x v="1"/>
    <x v="10"/>
    <x v="2"/>
  </r>
  <r>
    <s v="TX502010"/>
    <x v="11"/>
    <x v="12"/>
    <n v="85.1"/>
    <n v="340.4"/>
    <x v="73"/>
    <d v="2025-03-16T00:00:00"/>
    <s v="F"/>
    <x v="3"/>
    <x v="4"/>
    <x v="0"/>
    <x v="34"/>
    <x v="3"/>
    <x v="10"/>
    <x v="2"/>
  </r>
  <r>
    <s v="TX502011"/>
    <x v="11"/>
    <x v="1"/>
    <n v="41.4"/>
    <n v="82.8"/>
    <x v="73"/>
    <d v="2025-03-16T00:00:00"/>
    <s v="F"/>
    <x v="0"/>
    <x v="2"/>
    <x v="0"/>
    <x v="3"/>
    <x v="3"/>
    <x v="10"/>
    <x v="2"/>
  </r>
  <r>
    <s v="TX502012"/>
    <x v="4"/>
    <x v="3"/>
    <n v="32.700000000000003"/>
    <n v="228.90000000000003"/>
    <x v="73"/>
    <d v="2025-03-16T00:00:00"/>
    <s v="F"/>
    <x v="2"/>
    <x v="1"/>
    <x v="0"/>
    <x v="3"/>
    <x v="3"/>
    <x v="10"/>
    <x v="2"/>
  </r>
  <r>
    <s v="TX502013"/>
    <x v="4"/>
    <x v="1"/>
    <n v="41.6"/>
    <n v="83.2"/>
    <x v="73"/>
    <d v="2025-03-17T00:00:00"/>
    <s v="M"/>
    <x v="4"/>
    <x v="1"/>
    <x v="0"/>
    <x v="3"/>
    <x v="1"/>
    <x v="10"/>
    <x v="1"/>
  </r>
  <r>
    <s v="TX502014"/>
    <x v="5"/>
    <x v="12"/>
    <n v="64.8"/>
    <n v="259.2"/>
    <x v="73"/>
    <d v="2025-03-16T00:00:00"/>
    <s v=""/>
    <x v="2"/>
    <x v="0"/>
    <x v="0"/>
    <x v="3"/>
    <x v="3"/>
    <x v="10"/>
    <x v="0"/>
  </r>
  <r>
    <s v="TX502015"/>
    <x v="15"/>
    <x v="1"/>
    <n v="33.6"/>
    <n v="67.2"/>
    <x v="73"/>
    <d v="2025-03-16T00:00:00"/>
    <s v="M"/>
    <x v="0"/>
    <x v="2"/>
    <x v="0"/>
    <x v="3"/>
    <x v="3"/>
    <x v="10"/>
    <x v="1"/>
  </r>
  <r>
    <s v="TX502016"/>
    <x v="6"/>
    <x v="2"/>
    <n v="100.7"/>
    <n v="302.10000000000002"/>
    <x v="73"/>
    <d v="2025-03-16T00:00:00"/>
    <s v=""/>
    <x v="1"/>
    <x v="0"/>
    <x v="0"/>
    <x v="3"/>
    <x v="3"/>
    <x v="10"/>
    <x v="0"/>
  </r>
  <r>
    <s v="TX502017"/>
    <x v="4"/>
    <x v="1"/>
    <n v="49.3"/>
    <n v="98.6"/>
    <x v="74"/>
    <d v="2025-03-18T00:00:00"/>
    <s v="F"/>
    <x v="4"/>
    <x v="2"/>
    <x v="0"/>
    <x v="3"/>
    <x v="1"/>
    <x v="11"/>
    <x v="2"/>
  </r>
  <r>
    <s v="TX502018"/>
    <x v="2"/>
    <x v="13"/>
    <n v="97"/>
    <n v="582"/>
    <x v="74"/>
    <d v="2025-03-19T00:00:00"/>
    <s v="M"/>
    <x v="2"/>
    <x v="2"/>
    <x v="0"/>
    <x v="3"/>
    <x v="2"/>
    <x v="11"/>
    <x v="1"/>
  </r>
  <r>
    <s v="TX502019"/>
    <x v="0"/>
    <x v="13"/>
    <n v="25.2"/>
    <n v="151.19999999999999"/>
    <x v="74"/>
    <d v="2025-03-19T00:00:00"/>
    <s v="F"/>
    <x v="4"/>
    <x v="2"/>
    <x v="0"/>
    <x v="3"/>
    <x v="2"/>
    <x v="11"/>
    <x v="2"/>
  </r>
  <r>
    <s v="TX502020"/>
    <x v="0"/>
    <x v="5"/>
    <n v="12.2"/>
    <n v="134.19999999999999"/>
    <x v="74"/>
    <d v="2025-03-17T00:00:00"/>
    <s v=""/>
    <x v="0"/>
    <x v="1"/>
    <x v="0"/>
    <x v="3"/>
    <x v="3"/>
    <x v="11"/>
    <x v="0"/>
  </r>
  <r>
    <s v="TX502021"/>
    <x v="8"/>
    <x v="3"/>
    <n v="38.799999999999997"/>
    <n v="271.59999999999997"/>
    <x v="74"/>
    <d v="2025-03-18T00:00:00"/>
    <s v="F"/>
    <x v="1"/>
    <x v="1"/>
    <x v="0"/>
    <x v="23"/>
    <x v="1"/>
    <x v="11"/>
    <x v="2"/>
  </r>
  <r>
    <s v="TX502022"/>
    <x v="2"/>
    <x v="12"/>
    <n v="53.2"/>
    <n v="212.8"/>
    <x v="74"/>
    <d v="2025-03-17T00:00:00"/>
    <s v="M"/>
    <x v="0"/>
    <x v="2"/>
    <x v="0"/>
    <x v="8"/>
    <x v="3"/>
    <x v="11"/>
    <x v="1"/>
  </r>
  <r>
    <s v="TX502023"/>
    <x v="6"/>
    <x v="3"/>
    <n v="151"/>
    <n v="1057"/>
    <x v="74"/>
    <d v="2025-03-17T00:00:00"/>
    <s v="O"/>
    <x v="1"/>
    <x v="1"/>
    <x v="0"/>
    <x v="8"/>
    <x v="3"/>
    <x v="11"/>
    <x v="3"/>
  </r>
  <r>
    <s v="TX502024"/>
    <x v="1"/>
    <x v="1"/>
    <n v="37.1"/>
    <n v="74.2"/>
    <x v="74"/>
    <d v="2025-03-17T00:00:00"/>
    <s v="F"/>
    <x v="4"/>
    <x v="0"/>
    <x v="0"/>
    <x v="8"/>
    <x v="3"/>
    <x v="11"/>
    <x v="2"/>
  </r>
  <r>
    <s v="TX502025"/>
    <x v="5"/>
    <x v="1"/>
    <n v="38.9"/>
    <n v="77.8"/>
    <x v="74"/>
    <d v="2025-03-17T00:00:00"/>
    <s v="M"/>
    <x v="4"/>
    <x v="0"/>
    <x v="0"/>
    <x v="8"/>
    <x v="3"/>
    <x v="11"/>
    <x v="1"/>
  </r>
  <r>
    <s v="TX502026"/>
    <x v="10"/>
    <x v="1"/>
    <n v="35.200000000000003"/>
    <n v="70.400000000000006"/>
    <x v="74"/>
    <d v="2025-03-17T00:00:00"/>
    <s v="M"/>
    <x v="0"/>
    <x v="2"/>
    <x v="0"/>
    <x v="17"/>
    <x v="3"/>
    <x v="11"/>
    <x v="1"/>
  </r>
  <r>
    <s v="TX502027"/>
    <x v="0"/>
    <x v="1"/>
    <n v="22.3"/>
    <n v="44.6"/>
    <x v="74"/>
    <d v="2025-03-18T00:00:00"/>
    <s v="F"/>
    <x v="1"/>
    <x v="0"/>
    <x v="0"/>
    <x v="9"/>
    <x v="1"/>
    <x v="11"/>
    <x v="2"/>
  </r>
  <r>
    <s v="TX502028"/>
    <x v="9"/>
    <x v="0"/>
    <n v="43.3"/>
    <n v="43.3"/>
    <x v="74"/>
    <d v="2025-03-19T00:00:00"/>
    <s v="F"/>
    <x v="0"/>
    <x v="2"/>
    <x v="0"/>
    <x v="11"/>
    <x v="2"/>
    <x v="11"/>
    <x v="2"/>
  </r>
  <r>
    <s v="TX502029"/>
    <x v="6"/>
    <x v="13"/>
    <n v="75.900000000000006"/>
    <n v="455.40000000000003"/>
    <x v="74"/>
    <d v="2025-03-22T00:00:00"/>
    <s v="M"/>
    <x v="0"/>
    <x v="0"/>
    <x v="0"/>
    <x v="11"/>
    <x v="4"/>
    <x v="11"/>
    <x v="1"/>
  </r>
  <r>
    <s v="TX502030"/>
    <x v="6"/>
    <x v="2"/>
    <n v="78.7"/>
    <n v="236.10000000000002"/>
    <x v="74"/>
    <d v="2025-03-20T00:00:00"/>
    <s v="F"/>
    <x v="2"/>
    <x v="1"/>
    <x v="0"/>
    <x v="11"/>
    <x v="5"/>
    <x v="11"/>
    <x v="2"/>
  </r>
  <r>
    <s v="TX502031"/>
    <x v="1"/>
    <x v="0"/>
    <n v="66.3"/>
    <n v="66.3"/>
    <x v="74"/>
    <d v="2025-03-20T00:00:00"/>
    <s v="F"/>
    <x v="0"/>
    <x v="2"/>
    <x v="0"/>
    <x v="19"/>
    <x v="5"/>
    <x v="11"/>
    <x v="2"/>
  </r>
  <r>
    <s v="TX502032"/>
    <x v="8"/>
    <x v="1"/>
    <n v="33.6"/>
    <n v="67.2"/>
    <x v="74"/>
    <d v="2025-03-16T00:00:00"/>
    <s v="M"/>
    <x v="0"/>
    <x v="1"/>
    <x v="0"/>
    <x v="19"/>
    <x v="7"/>
    <x v="11"/>
    <x v="1"/>
  </r>
  <r>
    <s v="TX502033"/>
    <x v="2"/>
    <x v="3"/>
    <n v="61.4"/>
    <n v="429.8"/>
    <x v="74"/>
    <d v="2025-03-17T00:00:00"/>
    <s v="M"/>
    <x v="4"/>
    <x v="0"/>
    <x v="0"/>
    <x v="19"/>
    <x v="3"/>
    <x v="11"/>
    <x v="1"/>
  </r>
  <r>
    <s v="TX502034"/>
    <x v="8"/>
    <x v="1"/>
    <n v="17.5"/>
    <n v="35"/>
    <x v="74"/>
    <d v="2025-03-19T00:00:00"/>
    <s v="F"/>
    <x v="0"/>
    <x v="0"/>
    <x v="0"/>
    <x v="21"/>
    <x v="2"/>
    <x v="11"/>
    <x v="2"/>
  </r>
  <r>
    <s v="TX502035"/>
    <x v="8"/>
    <x v="1"/>
    <n v="32.5"/>
    <n v="65"/>
    <x v="74"/>
    <d v="2025-03-19T00:00:00"/>
    <s v="F"/>
    <x v="1"/>
    <x v="0"/>
    <x v="0"/>
    <x v="21"/>
    <x v="2"/>
    <x v="11"/>
    <x v="2"/>
  </r>
  <r>
    <s v="TX502036"/>
    <x v="4"/>
    <x v="0"/>
    <n v="34.6"/>
    <n v="34.6"/>
    <x v="74"/>
    <d v="2025-03-17T00:00:00"/>
    <s v="F"/>
    <x v="4"/>
    <x v="0"/>
    <x v="0"/>
    <x v="21"/>
    <x v="3"/>
    <x v="11"/>
    <x v="2"/>
  </r>
  <r>
    <s v="TX502037"/>
    <x v="2"/>
    <x v="0"/>
    <n v="75.900000000000006"/>
    <n v="75.900000000000006"/>
    <x v="74"/>
    <d v="2025-03-16T00:00:00"/>
    <s v="M"/>
    <x v="1"/>
    <x v="2"/>
    <x v="0"/>
    <x v="21"/>
    <x v="7"/>
    <x v="11"/>
    <x v="1"/>
  </r>
  <r>
    <s v="TX502038"/>
    <x v="1"/>
    <x v="2"/>
    <n v="42.1"/>
    <n v="126.30000000000001"/>
    <x v="74"/>
    <d v="2025-03-19T00:00:00"/>
    <s v="M"/>
    <x v="1"/>
    <x v="1"/>
    <x v="0"/>
    <x v="21"/>
    <x v="2"/>
    <x v="11"/>
    <x v="1"/>
  </r>
  <r>
    <s v="TX502039"/>
    <x v="7"/>
    <x v="2"/>
    <n v="65.3"/>
    <n v="195.89999999999998"/>
    <x v="74"/>
    <d v="2025-03-23T00:00:00"/>
    <s v="M"/>
    <x v="0"/>
    <x v="0"/>
    <x v="0"/>
    <x v="1"/>
    <x v="6"/>
    <x v="11"/>
    <x v="1"/>
  </r>
  <r>
    <s v="TX502040"/>
    <x v="15"/>
    <x v="0"/>
    <n v="20.6"/>
    <n v="20.6"/>
    <x v="74"/>
    <d v="2025-03-19T00:00:00"/>
    <s v="M"/>
    <x v="3"/>
    <x v="0"/>
    <x v="0"/>
    <x v="42"/>
    <x v="2"/>
    <x v="11"/>
    <x v="1"/>
  </r>
  <r>
    <s v="TX502041"/>
    <x v="8"/>
    <x v="3"/>
    <n v="16.5"/>
    <n v="115.5"/>
    <x v="74"/>
    <d v="2025-03-17T00:00:00"/>
    <s v="M"/>
    <x v="1"/>
    <x v="1"/>
    <x v="0"/>
    <x v="2"/>
    <x v="3"/>
    <x v="11"/>
    <x v="1"/>
  </r>
  <r>
    <s v="TX502042"/>
    <x v="16"/>
    <x v="7"/>
    <n v="36.200000000000003"/>
    <n v="362"/>
    <x v="74"/>
    <d v="2025-03-18T00:00:00"/>
    <s v="M"/>
    <x v="0"/>
    <x v="2"/>
    <x v="0"/>
    <x v="2"/>
    <x v="1"/>
    <x v="11"/>
    <x v="1"/>
  </r>
  <r>
    <s v="TX502043"/>
    <x v="6"/>
    <x v="0"/>
    <n v="53.2"/>
    <n v="53.2"/>
    <x v="74"/>
    <d v="2025-03-17T00:00:00"/>
    <s v="F"/>
    <x v="0"/>
    <x v="1"/>
    <x v="0"/>
    <x v="22"/>
    <x v="3"/>
    <x v="11"/>
    <x v="2"/>
  </r>
  <r>
    <s v="TX502044"/>
    <x v="2"/>
    <x v="21"/>
    <n v="176"/>
    <n v="2464"/>
    <x v="74"/>
    <d v="2025-03-17T00:00:00"/>
    <s v="F"/>
    <x v="0"/>
    <x v="1"/>
    <x v="0"/>
    <x v="3"/>
    <x v="3"/>
    <x v="11"/>
    <x v="2"/>
  </r>
  <r>
    <s v="TX502045"/>
    <x v="1"/>
    <x v="0"/>
    <n v="52.4"/>
    <n v="52.4"/>
    <x v="74"/>
    <d v="2025-03-17T00:00:00"/>
    <s v="M"/>
    <x v="1"/>
    <x v="0"/>
    <x v="0"/>
    <x v="3"/>
    <x v="3"/>
    <x v="11"/>
    <x v="1"/>
  </r>
  <r>
    <s v="TX502046"/>
    <x v="10"/>
    <x v="2"/>
    <n v="48.2"/>
    <n v="144.60000000000002"/>
    <x v="74"/>
    <d v="2025-03-17T00:00:00"/>
    <s v="F"/>
    <x v="1"/>
    <x v="2"/>
    <x v="0"/>
    <x v="3"/>
    <x v="3"/>
    <x v="11"/>
    <x v="2"/>
  </r>
  <r>
    <s v="TX502047"/>
    <x v="15"/>
    <x v="0"/>
    <n v="51.6"/>
    <n v="51.6"/>
    <x v="74"/>
    <d v="2025-03-20T00:00:00"/>
    <s v="F"/>
    <x v="2"/>
    <x v="1"/>
    <x v="0"/>
    <x v="3"/>
    <x v="5"/>
    <x v="11"/>
    <x v="2"/>
  </r>
  <r>
    <s v="TX502048"/>
    <x v="0"/>
    <x v="12"/>
    <n v="33.700000000000003"/>
    <n v="134.80000000000001"/>
    <x v="75"/>
    <d v="2025-03-18T00:00:00"/>
    <s v="M"/>
    <x v="0"/>
    <x v="0"/>
    <x v="0"/>
    <x v="3"/>
    <x v="3"/>
    <x v="11"/>
    <x v="1"/>
  </r>
  <r>
    <s v="TX502049"/>
    <x v="4"/>
    <x v="7"/>
    <n v="36.299999999999997"/>
    <n v="363"/>
    <x v="75"/>
    <d v="2025-03-19T00:00:00"/>
    <s v="F"/>
    <x v="4"/>
    <x v="1"/>
    <x v="0"/>
    <x v="3"/>
    <x v="1"/>
    <x v="11"/>
    <x v="2"/>
  </r>
  <r>
    <s v="TX502050"/>
    <x v="8"/>
    <x v="0"/>
    <n v="23.4"/>
    <n v="23.4"/>
    <x v="75"/>
    <d v="2025-03-22T00:00:00"/>
    <s v="F"/>
    <x v="1"/>
    <x v="2"/>
    <x v="0"/>
    <x v="3"/>
    <x v="0"/>
    <x v="11"/>
    <x v="2"/>
  </r>
  <r>
    <s v="TX502051"/>
    <x v="15"/>
    <x v="8"/>
    <n v="56.6"/>
    <n v="452.8"/>
    <x v="75"/>
    <d v="2025-03-19T00:00:00"/>
    <s v="F"/>
    <x v="1"/>
    <x v="0"/>
    <x v="0"/>
    <x v="3"/>
    <x v="1"/>
    <x v="11"/>
    <x v="2"/>
  </r>
  <r>
    <s v="TX502052"/>
    <x v="15"/>
    <x v="1"/>
    <n v="26.8"/>
    <n v="53.6"/>
    <x v="75"/>
    <d v="2025-03-18T00:00:00"/>
    <s v="M"/>
    <x v="0"/>
    <x v="0"/>
    <x v="0"/>
    <x v="4"/>
    <x v="3"/>
    <x v="11"/>
    <x v="1"/>
  </r>
  <r>
    <s v="TX502053"/>
    <x v="0"/>
    <x v="2"/>
    <n v="11.3"/>
    <n v="33.900000000000006"/>
    <x v="75"/>
    <d v="2025-03-19T00:00:00"/>
    <s v="M"/>
    <x v="2"/>
    <x v="0"/>
    <x v="0"/>
    <x v="25"/>
    <x v="1"/>
    <x v="11"/>
    <x v="1"/>
  </r>
  <r>
    <s v="TX502054"/>
    <x v="6"/>
    <x v="2"/>
    <n v="60.1"/>
    <n v="180.3"/>
    <x v="75"/>
    <d v="2025-03-20T00:00:00"/>
    <s v="F"/>
    <x v="0"/>
    <x v="0"/>
    <x v="0"/>
    <x v="7"/>
    <x v="2"/>
    <x v="11"/>
    <x v="2"/>
  </r>
  <r>
    <s v="TX502055"/>
    <x v="0"/>
    <x v="5"/>
    <n v="27.7"/>
    <n v="304.7"/>
    <x v="75"/>
    <d v="2025-03-22T00:00:00"/>
    <s v="F"/>
    <x v="0"/>
    <x v="0"/>
    <x v="0"/>
    <x v="8"/>
    <x v="0"/>
    <x v="11"/>
    <x v="2"/>
  </r>
  <r>
    <s v="TX502056"/>
    <x v="15"/>
    <x v="0"/>
    <n v="71.400000000000006"/>
    <n v="71.400000000000006"/>
    <x v="75"/>
    <d v="2025-03-20T00:00:00"/>
    <s v="M"/>
    <x v="0"/>
    <x v="2"/>
    <x v="0"/>
    <x v="8"/>
    <x v="2"/>
    <x v="11"/>
    <x v="1"/>
  </r>
  <r>
    <s v="TX502057"/>
    <x v="2"/>
    <x v="1"/>
    <n v="66.7"/>
    <n v="133.4"/>
    <x v="75"/>
    <d v="2025-03-18T00:00:00"/>
    <s v="F"/>
    <x v="0"/>
    <x v="2"/>
    <x v="0"/>
    <x v="8"/>
    <x v="3"/>
    <x v="11"/>
    <x v="2"/>
  </r>
  <r>
    <s v="TX502058"/>
    <x v="13"/>
    <x v="9"/>
    <n v="39.1"/>
    <n v="195.5"/>
    <x v="75"/>
    <d v="2025-03-18T00:00:00"/>
    <s v="F"/>
    <x v="0"/>
    <x v="0"/>
    <x v="0"/>
    <x v="8"/>
    <x v="3"/>
    <x v="11"/>
    <x v="2"/>
  </r>
  <r>
    <s v="TX502059"/>
    <x v="8"/>
    <x v="12"/>
    <n v="24.9"/>
    <n v="99.6"/>
    <x v="75"/>
    <d v="2025-03-22T00:00:00"/>
    <s v="M"/>
    <x v="1"/>
    <x v="2"/>
    <x v="0"/>
    <x v="8"/>
    <x v="0"/>
    <x v="11"/>
    <x v="1"/>
  </r>
  <r>
    <s v="TX502060"/>
    <x v="5"/>
    <x v="9"/>
    <n v="29.2"/>
    <n v="146"/>
    <x v="75"/>
    <d v="2025-03-18T00:00:00"/>
    <s v="M"/>
    <x v="0"/>
    <x v="2"/>
    <x v="0"/>
    <x v="17"/>
    <x v="3"/>
    <x v="11"/>
    <x v="1"/>
  </r>
  <r>
    <s v="TX502061"/>
    <x v="13"/>
    <x v="21"/>
    <n v="28.3"/>
    <n v="396.2"/>
    <x v="75"/>
    <d v="2025-03-19T00:00:00"/>
    <s v="F"/>
    <x v="1"/>
    <x v="0"/>
    <x v="0"/>
    <x v="11"/>
    <x v="1"/>
    <x v="11"/>
    <x v="2"/>
  </r>
  <r>
    <s v="TX502062"/>
    <x v="9"/>
    <x v="2"/>
    <n v="37.799999999999997"/>
    <n v="113.39999999999999"/>
    <x v="75"/>
    <d v="2025-03-18T00:00:00"/>
    <s v="F"/>
    <x v="0"/>
    <x v="1"/>
    <x v="0"/>
    <x v="11"/>
    <x v="3"/>
    <x v="11"/>
    <x v="2"/>
  </r>
  <r>
    <s v="TX502063"/>
    <x v="14"/>
    <x v="3"/>
    <n v="28.1"/>
    <n v="196.70000000000002"/>
    <x v="75"/>
    <d v="2025-03-23T00:00:00"/>
    <s v="F"/>
    <x v="2"/>
    <x v="0"/>
    <x v="0"/>
    <x v="11"/>
    <x v="4"/>
    <x v="11"/>
    <x v="2"/>
  </r>
  <r>
    <s v="TX502064"/>
    <x v="1"/>
    <x v="2"/>
    <n v="59.7"/>
    <n v="179.10000000000002"/>
    <x v="75"/>
    <d v="2025-03-19T00:00:00"/>
    <s v="F"/>
    <x v="2"/>
    <x v="0"/>
    <x v="0"/>
    <x v="11"/>
    <x v="1"/>
    <x v="11"/>
    <x v="2"/>
  </r>
  <r>
    <s v="TX502065"/>
    <x v="16"/>
    <x v="0"/>
    <n v="71.900000000000006"/>
    <n v="71.900000000000006"/>
    <x v="75"/>
    <d v="2025-03-18T00:00:00"/>
    <s v="M"/>
    <x v="1"/>
    <x v="1"/>
    <x v="0"/>
    <x v="11"/>
    <x v="3"/>
    <x v="11"/>
    <x v="1"/>
  </r>
  <r>
    <s v="TX502066"/>
    <x v="1"/>
    <x v="1"/>
    <n v="56.9"/>
    <n v="113.8"/>
    <x v="75"/>
    <d v="2025-03-18T00:00:00"/>
    <s v="M"/>
    <x v="2"/>
    <x v="0"/>
    <x v="0"/>
    <x v="13"/>
    <x v="3"/>
    <x v="11"/>
    <x v="1"/>
  </r>
  <r>
    <s v="TX502067"/>
    <x v="8"/>
    <x v="1"/>
    <n v="15.8"/>
    <n v="31.6"/>
    <x v="75"/>
    <d v="2025-03-20T00:00:00"/>
    <s v="F"/>
    <x v="2"/>
    <x v="1"/>
    <x v="0"/>
    <x v="1"/>
    <x v="2"/>
    <x v="11"/>
    <x v="2"/>
  </r>
  <r>
    <s v="TX502068"/>
    <x v="11"/>
    <x v="12"/>
    <n v="61.7"/>
    <n v="246.8"/>
    <x v="75"/>
    <d v="2025-03-19T00:00:00"/>
    <s v="F"/>
    <x v="2"/>
    <x v="0"/>
    <x v="0"/>
    <x v="22"/>
    <x v="1"/>
    <x v="11"/>
    <x v="2"/>
  </r>
  <r>
    <s v="TX502069"/>
    <x v="2"/>
    <x v="7"/>
    <n v="105.2"/>
    <n v="1052"/>
    <x v="75"/>
    <d v="2025-03-19T00:00:00"/>
    <s v="M"/>
    <x v="1"/>
    <x v="4"/>
    <x v="0"/>
    <x v="3"/>
    <x v="1"/>
    <x v="11"/>
    <x v="1"/>
  </r>
  <r>
    <s v="TX502070"/>
    <x v="0"/>
    <x v="1"/>
    <n v="17"/>
    <n v="34"/>
    <x v="75"/>
    <d v="2025-03-19T00:00:00"/>
    <s v="F"/>
    <x v="2"/>
    <x v="0"/>
    <x v="0"/>
    <x v="3"/>
    <x v="1"/>
    <x v="11"/>
    <x v="2"/>
  </r>
  <r>
    <s v="TX502071"/>
    <x v="6"/>
    <x v="2"/>
    <n v="84.1"/>
    <n v="252.29999999999998"/>
    <x v="75"/>
    <d v="2025-03-18T00:00:00"/>
    <s v="M"/>
    <x v="2"/>
    <x v="0"/>
    <x v="0"/>
    <x v="3"/>
    <x v="3"/>
    <x v="11"/>
    <x v="1"/>
  </r>
  <r>
    <s v="TX502072"/>
    <x v="3"/>
    <x v="12"/>
    <n v="59.5"/>
    <n v="238"/>
    <x v="75"/>
    <d v="2025-03-22T00:00:00"/>
    <s v="M"/>
    <x v="0"/>
    <x v="2"/>
    <x v="0"/>
    <x v="3"/>
    <x v="0"/>
    <x v="11"/>
    <x v="1"/>
  </r>
  <r>
    <s v="TX502073"/>
    <x v="8"/>
    <x v="1"/>
    <n v="57.5"/>
    <n v="115"/>
    <x v="75"/>
    <d v="2025-03-19T00:00:00"/>
    <s v="M"/>
    <x v="1"/>
    <x v="2"/>
    <x v="0"/>
    <x v="3"/>
    <x v="1"/>
    <x v="11"/>
    <x v="1"/>
  </r>
  <r>
    <s v="TX502074"/>
    <x v="8"/>
    <x v="0"/>
    <n v="34.299999999999997"/>
    <n v="34.299999999999997"/>
    <x v="75"/>
    <d v="2025-03-18T00:00:00"/>
    <s v="F"/>
    <x v="4"/>
    <x v="2"/>
    <x v="0"/>
    <x v="3"/>
    <x v="3"/>
    <x v="11"/>
    <x v="2"/>
  </r>
  <r>
    <s v="TX502075"/>
    <x v="5"/>
    <x v="1"/>
    <n v="27.8"/>
    <n v="55.6"/>
    <x v="76"/>
    <d v="2025-03-20T00:00:00"/>
    <s v="F"/>
    <x v="0"/>
    <x v="0"/>
    <x v="0"/>
    <x v="3"/>
    <x v="1"/>
    <x v="11"/>
    <x v="2"/>
  </r>
  <r>
    <s v="TX502076"/>
    <x v="12"/>
    <x v="1"/>
    <n v="85"/>
    <n v="170"/>
    <x v="76"/>
    <d v="2025-03-18T00:00:00"/>
    <s v="M"/>
    <x v="2"/>
    <x v="2"/>
    <x v="0"/>
    <x v="3"/>
    <x v="7"/>
    <x v="11"/>
    <x v="1"/>
  </r>
  <r>
    <s v="TX502077"/>
    <x v="6"/>
    <x v="1"/>
    <n v="95"/>
    <n v="190"/>
    <x v="76"/>
    <d v="2025-03-20T00:00:00"/>
    <s v="F"/>
    <x v="0"/>
    <x v="0"/>
    <x v="0"/>
    <x v="3"/>
    <x v="1"/>
    <x v="11"/>
    <x v="2"/>
  </r>
  <r>
    <s v="TX502078"/>
    <x v="16"/>
    <x v="1"/>
    <n v="32"/>
    <n v="64"/>
    <x v="76"/>
    <d v="2025-03-20T00:00:00"/>
    <s v="M"/>
    <x v="0"/>
    <x v="1"/>
    <x v="0"/>
    <x v="3"/>
    <x v="1"/>
    <x v="11"/>
    <x v="1"/>
  </r>
  <r>
    <s v="TX502079"/>
    <x v="2"/>
    <x v="1"/>
    <n v="65.2"/>
    <n v="130.4"/>
    <x v="76"/>
    <d v="2025-03-19T00:00:00"/>
    <s v="F"/>
    <x v="1"/>
    <x v="0"/>
    <x v="0"/>
    <x v="3"/>
    <x v="3"/>
    <x v="11"/>
    <x v="2"/>
  </r>
  <r>
    <s v="TX502080"/>
    <x v="17"/>
    <x v="12"/>
    <n v="22"/>
    <n v="88"/>
    <x v="76"/>
    <d v="2025-03-19T00:00:00"/>
    <s v="M"/>
    <x v="1"/>
    <x v="2"/>
    <x v="0"/>
    <x v="3"/>
    <x v="3"/>
    <x v="11"/>
    <x v="1"/>
  </r>
  <r>
    <s v="TX502081"/>
    <x v="15"/>
    <x v="2"/>
    <n v="69.400000000000006"/>
    <n v="208.20000000000002"/>
    <x v="76"/>
    <d v="2025-03-21T00:00:00"/>
    <s v="M"/>
    <x v="1"/>
    <x v="2"/>
    <x v="0"/>
    <x v="3"/>
    <x v="2"/>
    <x v="11"/>
    <x v="1"/>
  </r>
  <r>
    <s v="TX502082"/>
    <x v="10"/>
    <x v="13"/>
    <n v="31.5"/>
    <n v="189"/>
    <x v="76"/>
    <d v="2025-03-20T00:00:00"/>
    <s v="F"/>
    <x v="0"/>
    <x v="2"/>
    <x v="0"/>
    <x v="3"/>
    <x v="1"/>
    <x v="11"/>
    <x v="2"/>
  </r>
  <r>
    <s v="TX502083"/>
    <x v="6"/>
    <x v="0"/>
    <n v="45.8"/>
    <n v="45.8"/>
    <x v="76"/>
    <d v="2025-03-22T00:00:00"/>
    <s v="O"/>
    <x v="0"/>
    <x v="0"/>
    <x v="0"/>
    <x v="3"/>
    <x v="5"/>
    <x v="11"/>
    <x v="3"/>
  </r>
  <r>
    <s v="TX502084"/>
    <x v="19"/>
    <x v="12"/>
    <n v="12.8"/>
    <n v="51.2"/>
    <x v="76"/>
    <d v="2025-03-25T00:00:00"/>
    <s v="F"/>
    <x v="1"/>
    <x v="1"/>
    <x v="0"/>
    <x v="5"/>
    <x v="6"/>
    <x v="11"/>
    <x v="2"/>
  </r>
  <r>
    <s v="TX502085"/>
    <x v="5"/>
    <x v="2"/>
    <n v="115.3"/>
    <n v="345.9"/>
    <x v="76"/>
    <d v="2025-03-19T00:00:00"/>
    <s v="F"/>
    <x v="2"/>
    <x v="2"/>
    <x v="0"/>
    <x v="6"/>
    <x v="3"/>
    <x v="11"/>
    <x v="2"/>
  </r>
  <r>
    <s v="TX502086"/>
    <x v="5"/>
    <x v="1"/>
    <n v="85"/>
    <n v="170"/>
    <x v="76"/>
    <d v="2025-03-20T00:00:00"/>
    <s v="F"/>
    <x v="1"/>
    <x v="0"/>
    <x v="0"/>
    <x v="7"/>
    <x v="1"/>
    <x v="11"/>
    <x v="2"/>
  </r>
  <r>
    <s v="TX502087"/>
    <x v="8"/>
    <x v="2"/>
    <n v="56.6"/>
    <n v="169.8"/>
    <x v="76"/>
    <d v="2025-03-19T00:00:00"/>
    <s v="F"/>
    <x v="1"/>
    <x v="2"/>
    <x v="0"/>
    <x v="7"/>
    <x v="3"/>
    <x v="11"/>
    <x v="2"/>
  </r>
  <r>
    <s v="TX502088"/>
    <x v="15"/>
    <x v="6"/>
    <n v="46.3"/>
    <n v="1250.0999999999999"/>
    <x v="76"/>
    <d v="2025-03-21T00:00:00"/>
    <s v="M"/>
    <x v="0"/>
    <x v="0"/>
    <x v="0"/>
    <x v="7"/>
    <x v="2"/>
    <x v="11"/>
    <x v="1"/>
  </r>
  <r>
    <s v="TX502089"/>
    <x v="14"/>
    <x v="12"/>
    <n v="23"/>
    <n v="92"/>
    <x v="76"/>
    <d v="2025-03-22T00:00:00"/>
    <s v="M"/>
    <x v="3"/>
    <x v="2"/>
    <x v="0"/>
    <x v="7"/>
    <x v="5"/>
    <x v="11"/>
    <x v="1"/>
  </r>
  <r>
    <s v="TX502090"/>
    <x v="8"/>
    <x v="13"/>
    <n v="42.1"/>
    <n v="252.60000000000002"/>
    <x v="76"/>
    <d v="2025-03-20T00:00:00"/>
    <s v="M"/>
    <x v="4"/>
    <x v="0"/>
    <x v="0"/>
    <x v="8"/>
    <x v="1"/>
    <x v="11"/>
    <x v="1"/>
  </r>
  <r>
    <s v="TX502091"/>
    <x v="5"/>
    <x v="3"/>
    <n v="57.4"/>
    <n v="401.8"/>
    <x v="76"/>
    <d v="2025-03-22T00:00:00"/>
    <s v="F"/>
    <x v="1"/>
    <x v="4"/>
    <x v="0"/>
    <x v="8"/>
    <x v="5"/>
    <x v="11"/>
    <x v="2"/>
  </r>
  <r>
    <s v="TX502092"/>
    <x v="0"/>
    <x v="13"/>
    <n v="13.2"/>
    <n v="79.199999999999989"/>
    <x v="76"/>
    <d v="2025-03-22T00:00:00"/>
    <s v="M"/>
    <x v="2"/>
    <x v="0"/>
    <x v="0"/>
    <x v="8"/>
    <x v="5"/>
    <x v="11"/>
    <x v="1"/>
  </r>
  <r>
    <s v="TX502093"/>
    <x v="6"/>
    <x v="2"/>
    <n v="52.3"/>
    <n v="156.89999999999998"/>
    <x v="76"/>
    <d v="2025-03-19T00:00:00"/>
    <s v="M"/>
    <x v="1"/>
    <x v="0"/>
    <x v="0"/>
    <x v="8"/>
    <x v="3"/>
    <x v="11"/>
    <x v="1"/>
  </r>
  <r>
    <s v="TX502094"/>
    <x v="8"/>
    <x v="1"/>
    <n v="15.7"/>
    <n v="31.4"/>
    <x v="76"/>
    <d v="2025-03-21T00:00:00"/>
    <s v="M"/>
    <x v="1"/>
    <x v="2"/>
    <x v="0"/>
    <x v="8"/>
    <x v="2"/>
    <x v="11"/>
    <x v="1"/>
  </r>
  <r>
    <s v="TX502095"/>
    <x v="7"/>
    <x v="2"/>
    <n v="35"/>
    <n v="105"/>
    <x v="76"/>
    <d v="2025-03-21T00:00:00"/>
    <s v="F"/>
    <x v="1"/>
    <x v="2"/>
    <x v="0"/>
    <x v="9"/>
    <x v="2"/>
    <x v="11"/>
    <x v="2"/>
  </r>
  <r>
    <s v="TX502096"/>
    <x v="4"/>
    <x v="2"/>
    <n v="26.6"/>
    <n v="79.800000000000011"/>
    <x v="76"/>
    <d v="2025-03-18T00:00:00"/>
    <s v="M"/>
    <x v="1"/>
    <x v="2"/>
    <x v="0"/>
    <x v="11"/>
    <x v="7"/>
    <x v="11"/>
    <x v="1"/>
  </r>
  <r>
    <s v="TX502097"/>
    <x v="4"/>
    <x v="8"/>
    <n v="47.9"/>
    <n v="383.2"/>
    <x v="77"/>
    <d v="2025-03-20T00:00:00"/>
    <s v="F"/>
    <x v="3"/>
    <x v="2"/>
    <x v="0"/>
    <x v="20"/>
    <x v="3"/>
    <x v="11"/>
    <x v="2"/>
  </r>
  <r>
    <s v="TX502098"/>
    <x v="5"/>
    <x v="0"/>
    <n v="80.099999999999994"/>
    <n v="80.099999999999994"/>
    <x v="77"/>
    <d v="2025-03-20T00:00:00"/>
    <s v="M"/>
    <x v="2"/>
    <x v="0"/>
    <x v="0"/>
    <x v="21"/>
    <x v="3"/>
    <x v="11"/>
    <x v="1"/>
  </r>
  <r>
    <s v="TX502099"/>
    <x v="6"/>
    <x v="9"/>
    <n v="50.4"/>
    <n v="252"/>
    <x v="77"/>
    <d v="2025-03-20T00:00:00"/>
    <s v="M"/>
    <x v="1"/>
    <x v="2"/>
    <x v="0"/>
    <x v="21"/>
    <x v="3"/>
    <x v="11"/>
    <x v="1"/>
  </r>
  <r>
    <s v="TX502100"/>
    <x v="10"/>
    <x v="3"/>
    <n v="43.3"/>
    <n v="303.09999999999997"/>
    <x v="77"/>
    <d v="2025-03-20T00:00:00"/>
    <s v="M"/>
    <x v="2"/>
    <x v="0"/>
    <x v="0"/>
    <x v="21"/>
    <x v="3"/>
    <x v="11"/>
    <x v="1"/>
  </r>
  <r>
    <s v="TX502101"/>
    <x v="10"/>
    <x v="12"/>
    <n v="57.5"/>
    <n v="230"/>
    <x v="77"/>
    <d v="2025-03-20T00:00:00"/>
    <s v="F"/>
    <x v="1"/>
    <x v="2"/>
    <x v="0"/>
    <x v="1"/>
    <x v="3"/>
    <x v="11"/>
    <x v="2"/>
  </r>
  <r>
    <s v="TX502102"/>
    <x v="9"/>
    <x v="15"/>
    <n v="24.8"/>
    <n v="322.40000000000003"/>
    <x v="77"/>
    <d v="2025-03-20T00:00:00"/>
    <s v="M"/>
    <x v="0"/>
    <x v="0"/>
    <x v="0"/>
    <x v="57"/>
    <x v="3"/>
    <x v="11"/>
    <x v="1"/>
  </r>
  <r>
    <s v="TX502103"/>
    <x v="2"/>
    <x v="11"/>
    <n v="85.7"/>
    <n v="771.30000000000007"/>
    <x v="77"/>
    <d v="2025-03-20T00:00:00"/>
    <s v="F"/>
    <x v="0"/>
    <x v="0"/>
    <x v="0"/>
    <x v="42"/>
    <x v="3"/>
    <x v="11"/>
    <x v="2"/>
  </r>
  <r>
    <s v="TX502104"/>
    <x v="7"/>
    <x v="0"/>
    <n v="47.1"/>
    <n v="47.1"/>
    <x v="77"/>
    <d v="2025-03-21T00:00:00"/>
    <s v="F"/>
    <x v="0"/>
    <x v="0"/>
    <x v="0"/>
    <x v="2"/>
    <x v="1"/>
    <x v="11"/>
    <x v="2"/>
  </r>
  <r>
    <s v="TX502105"/>
    <x v="5"/>
    <x v="7"/>
    <n v="83.2"/>
    <n v="832"/>
    <x v="77"/>
    <d v="2025-03-23T00:00:00"/>
    <s v="F"/>
    <x v="0"/>
    <x v="0"/>
    <x v="0"/>
    <x v="33"/>
    <x v="5"/>
    <x v="11"/>
    <x v="2"/>
  </r>
  <r>
    <s v="TX502106"/>
    <x v="2"/>
    <x v="2"/>
    <n v="157"/>
    <n v="471"/>
    <x v="77"/>
    <d v="2025-03-21T00:00:00"/>
    <s v="F"/>
    <x v="0"/>
    <x v="2"/>
    <x v="0"/>
    <x v="22"/>
    <x v="1"/>
    <x v="11"/>
    <x v="2"/>
  </r>
  <r>
    <s v="TX502107"/>
    <x v="16"/>
    <x v="12"/>
    <n v="33.700000000000003"/>
    <n v="134.80000000000001"/>
    <x v="77"/>
    <d v="2025-03-20T00:00:00"/>
    <s v="M"/>
    <x v="2"/>
    <x v="2"/>
    <x v="0"/>
    <x v="22"/>
    <x v="3"/>
    <x v="11"/>
    <x v="1"/>
  </r>
  <r>
    <s v="TX502108"/>
    <x v="2"/>
    <x v="2"/>
    <n v="60.8"/>
    <n v="182.39999999999998"/>
    <x v="77"/>
    <d v="2025-03-23T00:00:00"/>
    <s v="F"/>
    <x v="1"/>
    <x v="1"/>
    <x v="0"/>
    <x v="3"/>
    <x v="5"/>
    <x v="11"/>
    <x v="2"/>
  </r>
  <r>
    <s v="TX502109"/>
    <x v="7"/>
    <x v="0"/>
    <n v="57.6"/>
    <n v="57.6"/>
    <x v="77"/>
    <d v="2025-03-20T00:00:00"/>
    <s v="M"/>
    <x v="1"/>
    <x v="4"/>
    <x v="0"/>
    <x v="3"/>
    <x v="3"/>
    <x v="11"/>
    <x v="1"/>
  </r>
  <r>
    <s v="TX502110"/>
    <x v="10"/>
    <x v="0"/>
    <n v="32"/>
    <n v="32"/>
    <x v="77"/>
    <d v="2025-03-21T00:00:00"/>
    <s v="M"/>
    <x v="0"/>
    <x v="0"/>
    <x v="0"/>
    <x v="3"/>
    <x v="1"/>
    <x v="11"/>
    <x v="1"/>
  </r>
  <r>
    <s v="TX502111"/>
    <x v="10"/>
    <x v="12"/>
    <n v="23.5"/>
    <n v="94"/>
    <x v="77"/>
    <d v="2025-03-20T00:00:00"/>
    <s v="F"/>
    <x v="0"/>
    <x v="2"/>
    <x v="0"/>
    <x v="3"/>
    <x v="3"/>
    <x v="11"/>
    <x v="2"/>
  </r>
  <r>
    <s v="TX502112"/>
    <x v="12"/>
    <x v="2"/>
    <n v="44.8"/>
    <n v="134.39999999999998"/>
    <x v="77"/>
    <d v="2025-03-20T00:00:00"/>
    <s v="O"/>
    <x v="4"/>
    <x v="0"/>
    <x v="0"/>
    <x v="3"/>
    <x v="3"/>
    <x v="11"/>
    <x v="3"/>
  </r>
  <r>
    <s v="TX502113"/>
    <x v="0"/>
    <x v="8"/>
    <n v="11.7"/>
    <n v="93.6"/>
    <x v="77"/>
    <d v="2025-03-20T00:00:00"/>
    <s v="M"/>
    <x v="2"/>
    <x v="2"/>
    <x v="0"/>
    <x v="3"/>
    <x v="3"/>
    <x v="11"/>
    <x v="1"/>
  </r>
  <r>
    <s v="TX502114"/>
    <x v="7"/>
    <x v="1"/>
    <n v="38.799999999999997"/>
    <n v="77.599999999999994"/>
    <x v="77"/>
    <d v="2025-03-22T00:00:00"/>
    <s v="F"/>
    <x v="2"/>
    <x v="0"/>
    <x v="0"/>
    <x v="3"/>
    <x v="2"/>
    <x v="11"/>
    <x v="2"/>
  </r>
  <r>
    <s v="TX502115"/>
    <x v="5"/>
    <x v="21"/>
    <n v="86.9"/>
    <n v="1216.6000000000001"/>
    <x v="77"/>
    <d v="2025-03-24T00:00:00"/>
    <s v="F"/>
    <x v="1"/>
    <x v="0"/>
    <x v="0"/>
    <x v="3"/>
    <x v="0"/>
    <x v="11"/>
    <x v="2"/>
  </r>
  <r>
    <s v="TX502116"/>
    <x v="8"/>
    <x v="0"/>
    <n v="18.3"/>
    <n v="18.3"/>
    <x v="77"/>
    <d v="2025-03-20T00:00:00"/>
    <s v="F"/>
    <x v="0"/>
    <x v="0"/>
    <x v="0"/>
    <x v="3"/>
    <x v="3"/>
    <x v="11"/>
    <x v="2"/>
  </r>
  <r>
    <s v="TX502117"/>
    <x v="5"/>
    <x v="0"/>
    <n v="47.5"/>
    <n v="47.5"/>
    <x v="77"/>
    <d v="2025-03-23T00:00:00"/>
    <s v="M"/>
    <x v="4"/>
    <x v="2"/>
    <x v="0"/>
    <x v="3"/>
    <x v="5"/>
    <x v="11"/>
    <x v="1"/>
  </r>
  <r>
    <s v="TX502118"/>
    <x v="1"/>
    <x v="1"/>
    <n v="78.599999999999994"/>
    <n v="157.19999999999999"/>
    <x v="77"/>
    <d v="2025-03-20T00:00:00"/>
    <s v="M"/>
    <x v="2"/>
    <x v="2"/>
    <x v="0"/>
    <x v="3"/>
    <x v="3"/>
    <x v="11"/>
    <x v="1"/>
  </r>
  <r>
    <s v="TX502119"/>
    <x v="6"/>
    <x v="12"/>
    <n v="87.3"/>
    <n v="349.2"/>
    <x v="77"/>
    <d v="2025-03-20T00:00:00"/>
    <s v="M"/>
    <x v="0"/>
    <x v="0"/>
    <x v="0"/>
    <x v="3"/>
    <x v="3"/>
    <x v="11"/>
    <x v="1"/>
  </r>
  <r>
    <s v="TX502120"/>
    <x v="9"/>
    <x v="1"/>
    <n v="63.2"/>
    <n v="126.4"/>
    <x v="77"/>
    <d v="2025-03-19T00:00:00"/>
    <s v="M"/>
    <x v="4"/>
    <x v="1"/>
    <x v="0"/>
    <x v="3"/>
    <x v="7"/>
    <x v="11"/>
    <x v="1"/>
  </r>
  <r>
    <s v="TX502121"/>
    <x v="5"/>
    <x v="9"/>
    <n v="33.700000000000003"/>
    <n v="168.5"/>
    <x v="77"/>
    <d v="2025-03-20T00:00:00"/>
    <s v="F"/>
    <x v="0"/>
    <x v="0"/>
    <x v="0"/>
    <x v="3"/>
    <x v="3"/>
    <x v="11"/>
    <x v="2"/>
  </r>
  <r>
    <s v="TX502122"/>
    <x v="2"/>
    <x v="2"/>
    <n v="107.4"/>
    <n v="322.20000000000005"/>
    <x v="77"/>
    <d v="2025-04-01T00:00:00"/>
    <s v="F"/>
    <x v="1"/>
    <x v="2"/>
    <x v="0"/>
    <x v="3"/>
    <x v="10"/>
    <x v="11"/>
    <x v="2"/>
  </r>
  <r>
    <s v="TX502123"/>
    <x v="4"/>
    <x v="12"/>
    <n v="22.2"/>
    <n v="88.8"/>
    <x v="77"/>
    <d v="2025-03-20T00:00:00"/>
    <s v=""/>
    <x v="1"/>
    <x v="2"/>
    <x v="0"/>
    <x v="24"/>
    <x v="3"/>
    <x v="11"/>
    <x v="0"/>
  </r>
  <r>
    <s v="TX502124"/>
    <x v="18"/>
    <x v="2"/>
    <n v="52.8"/>
    <n v="158.39999999999998"/>
    <x v="77"/>
    <d v="2025-03-20T00:00:00"/>
    <s v="M"/>
    <x v="3"/>
    <x v="2"/>
    <x v="0"/>
    <x v="24"/>
    <x v="3"/>
    <x v="11"/>
    <x v="1"/>
  </r>
  <r>
    <s v="TX502125"/>
    <x v="8"/>
    <x v="2"/>
    <n v="41.5"/>
    <n v="124.5"/>
    <x v="77"/>
    <d v="2025-03-22T00:00:00"/>
    <s v="F"/>
    <x v="0"/>
    <x v="0"/>
    <x v="0"/>
    <x v="25"/>
    <x v="2"/>
    <x v="11"/>
    <x v="2"/>
  </r>
  <r>
    <s v="TX502126"/>
    <x v="12"/>
    <x v="8"/>
    <n v="103.5"/>
    <n v="828"/>
    <x v="77"/>
    <d v="2025-03-22T00:00:00"/>
    <s v="F"/>
    <x v="0"/>
    <x v="2"/>
    <x v="0"/>
    <x v="23"/>
    <x v="2"/>
    <x v="11"/>
    <x v="2"/>
  </r>
  <r>
    <s v="TX502127"/>
    <x v="4"/>
    <x v="21"/>
    <n v="37.5"/>
    <n v="525"/>
    <x v="77"/>
    <d v="2025-03-19T00:00:00"/>
    <s v="F"/>
    <x v="1"/>
    <x v="2"/>
    <x v="0"/>
    <x v="6"/>
    <x v="7"/>
    <x v="11"/>
    <x v="2"/>
  </r>
  <r>
    <s v="TX502128"/>
    <x v="15"/>
    <x v="8"/>
    <n v="44.4"/>
    <n v="355.2"/>
    <x v="77"/>
    <d v="2025-03-25T00:00:00"/>
    <s v="F"/>
    <x v="3"/>
    <x v="2"/>
    <x v="0"/>
    <x v="7"/>
    <x v="4"/>
    <x v="11"/>
    <x v="2"/>
  </r>
  <r>
    <s v="TX502129"/>
    <x v="8"/>
    <x v="2"/>
    <n v="26.2"/>
    <n v="78.599999999999994"/>
    <x v="77"/>
    <d v="2025-03-20T00:00:00"/>
    <s v="M"/>
    <x v="0"/>
    <x v="0"/>
    <x v="0"/>
    <x v="8"/>
    <x v="3"/>
    <x v="11"/>
    <x v="1"/>
  </r>
  <r>
    <s v="TX502130"/>
    <x v="1"/>
    <x v="3"/>
    <n v="32.200000000000003"/>
    <n v="225.40000000000003"/>
    <x v="77"/>
    <d v="2025-03-20T00:00:00"/>
    <s v="F"/>
    <x v="1"/>
    <x v="2"/>
    <x v="0"/>
    <x v="8"/>
    <x v="3"/>
    <x v="11"/>
    <x v="2"/>
  </r>
  <r>
    <s v="TX502131"/>
    <x v="8"/>
    <x v="0"/>
    <n v="17.399999999999999"/>
    <n v="17.399999999999999"/>
    <x v="77"/>
    <d v="2025-03-23T00:00:00"/>
    <s v=""/>
    <x v="2"/>
    <x v="1"/>
    <x v="0"/>
    <x v="8"/>
    <x v="5"/>
    <x v="11"/>
    <x v="0"/>
  </r>
  <r>
    <s v="TX502132"/>
    <x v="8"/>
    <x v="13"/>
    <n v="72.3"/>
    <n v="433.79999999999995"/>
    <x v="77"/>
    <d v="2025-03-22T00:00:00"/>
    <s v="F"/>
    <x v="0"/>
    <x v="0"/>
    <x v="0"/>
    <x v="8"/>
    <x v="2"/>
    <x v="11"/>
    <x v="2"/>
  </r>
  <r>
    <s v="TX502133"/>
    <x v="8"/>
    <x v="5"/>
    <n v="24.3"/>
    <n v="267.3"/>
    <x v="77"/>
    <d v="2025-03-20T00:00:00"/>
    <s v="M"/>
    <x v="0"/>
    <x v="0"/>
    <x v="0"/>
    <x v="8"/>
    <x v="3"/>
    <x v="11"/>
    <x v="1"/>
  </r>
  <r>
    <s v="TX502134"/>
    <x v="13"/>
    <x v="2"/>
    <n v="49.1"/>
    <n v="147.30000000000001"/>
    <x v="77"/>
    <d v="2025-03-25T00:00:00"/>
    <s v="M"/>
    <x v="2"/>
    <x v="4"/>
    <x v="0"/>
    <x v="8"/>
    <x v="4"/>
    <x v="11"/>
    <x v="1"/>
  </r>
  <r>
    <s v="TX502135"/>
    <x v="2"/>
    <x v="7"/>
    <n v="234.7"/>
    <n v="2347"/>
    <x v="77"/>
    <d v="2025-03-20T00:00:00"/>
    <s v="M"/>
    <x v="3"/>
    <x v="1"/>
    <x v="0"/>
    <x v="8"/>
    <x v="3"/>
    <x v="11"/>
    <x v="1"/>
  </r>
  <r>
    <s v="TX502136"/>
    <x v="3"/>
    <x v="9"/>
    <n v="76.099999999999994"/>
    <n v="380.5"/>
    <x v="77"/>
    <d v="2025-03-21T00:00:00"/>
    <s v="M"/>
    <x v="1"/>
    <x v="1"/>
    <x v="0"/>
    <x v="17"/>
    <x v="1"/>
    <x v="11"/>
    <x v="1"/>
  </r>
  <r>
    <s v="TX502137"/>
    <x v="1"/>
    <x v="2"/>
    <n v="93.9"/>
    <n v="281.70000000000005"/>
    <x v="77"/>
    <d v="2025-03-20T00:00:00"/>
    <s v="M"/>
    <x v="1"/>
    <x v="4"/>
    <x v="0"/>
    <x v="11"/>
    <x v="3"/>
    <x v="11"/>
    <x v="1"/>
  </r>
  <r>
    <s v="TX502138"/>
    <x v="2"/>
    <x v="12"/>
    <n v="187"/>
    <n v="748"/>
    <x v="78"/>
    <d v="2025-03-23T00:00:00"/>
    <s v="M"/>
    <x v="0"/>
    <x v="0"/>
    <x v="0"/>
    <x v="11"/>
    <x v="2"/>
    <x v="11"/>
    <x v="1"/>
  </r>
  <r>
    <s v="TX502139"/>
    <x v="8"/>
    <x v="1"/>
    <n v="18"/>
    <n v="36"/>
    <x v="78"/>
    <d v="2025-03-21T00:00:00"/>
    <s v="F"/>
    <x v="1"/>
    <x v="2"/>
    <x v="0"/>
    <x v="53"/>
    <x v="3"/>
    <x v="11"/>
    <x v="2"/>
  </r>
  <r>
    <s v="TX502140"/>
    <x v="4"/>
    <x v="0"/>
    <n v="24.4"/>
    <n v="24.4"/>
    <x v="78"/>
    <d v="2025-03-21T00:00:00"/>
    <s v="F"/>
    <x v="4"/>
    <x v="2"/>
    <x v="0"/>
    <x v="21"/>
    <x v="3"/>
    <x v="11"/>
    <x v="2"/>
  </r>
  <r>
    <s v="TX502141"/>
    <x v="10"/>
    <x v="1"/>
    <n v="38.799999999999997"/>
    <n v="77.599999999999994"/>
    <x v="78"/>
    <d v="2025-03-21T00:00:00"/>
    <s v="M"/>
    <x v="4"/>
    <x v="1"/>
    <x v="0"/>
    <x v="3"/>
    <x v="3"/>
    <x v="11"/>
    <x v="1"/>
  </r>
  <r>
    <s v="TX502142"/>
    <x v="3"/>
    <x v="0"/>
    <n v="59.7"/>
    <n v="59.7"/>
    <x v="78"/>
    <d v="2025-03-23T00:00:00"/>
    <s v="M"/>
    <x v="3"/>
    <x v="0"/>
    <x v="0"/>
    <x v="3"/>
    <x v="2"/>
    <x v="11"/>
    <x v="1"/>
  </r>
  <r>
    <s v="TX502143"/>
    <x v="7"/>
    <x v="0"/>
    <n v="31.2"/>
    <n v="31.2"/>
    <x v="78"/>
    <d v="2025-03-21T00:00:00"/>
    <s v="M"/>
    <x v="1"/>
    <x v="2"/>
    <x v="0"/>
    <x v="3"/>
    <x v="3"/>
    <x v="11"/>
    <x v="1"/>
  </r>
  <r>
    <s v="TX502144"/>
    <x v="0"/>
    <x v="0"/>
    <n v="16.8"/>
    <n v="16.8"/>
    <x v="78"/>
    <d v="2025-03-21T00:00:00"/>
    <s v="F"/>
    <x v="2"/>
    <x v="1"/>
    <x v="0"/>
    <x v="3"/>
    <x v="3"/>
    <x v="11"/>
    <x v="2"/>
  </r>
  <r>
    <s v="TX502145"/>
    <x v="8"/>
    <x v="0"/>
    <n v="46"/>
    <n v="46"/>
    <x v="78"/>
    <d v="2025-03-21T00:00:00"/>
    <s v="M"/>
    <x v="0"/>
    <x v="0"/>
    <x v="0"/>
    <x v="3"/>
    <x v="3"/>
    <x v="11"/>
    <x v="1"/>
  </r>
  <r>
    <s v="TX502146"/>
    <x v="9"/>
    <x v="8"/>
    <n v="42.2"/>
    <n v="337.6"/>
    <x v="78"/>
    <d v="2025-03-23T00:00:00"/>
    <s v="F"/>
    <x v="3"/>
    <x v="2"/>
    <x v="0"/>
    <x v="3"/>
    <x v="2"/>
    <x v="11"/>
    <x v="2"/>
  </r>
  <r>
    <s v="TX502147"/>
    <x v="1"/>
    <x v="2"/>
    <n v="71.5"/>
    <n v="214.5"/>
    <x v="78"/>
    <d v="2025-04-03T00:00:00"/>
    <s v="F"/>
    <x v="0"/>
    <x v="0"/>
    <x v="0"/>
    <x v="3"/>
    <x v="12"/>
    <x v="11"/>
    <x v="2"/>
  </r>
  <r>
    <s v="TX502148"/>
    <x v="1"/>
    <x v="1"/>
    <n v="76.599999999999994"/>
    <n v="153.19999999999999"/>
    <x v="78"/>
    <d v="2025-03-20T00:00:00"/>
    <s v="M"/>
    <x v="0"/>
    <x v="2"/>
    <x v="0"/>
    <x v="3"/>
    <x v="7"/>
    <x v="11"/>
    <x v="1"/>
  </r>
  <r>
    <s v="TX502149"/>
    <x v="12"/>
    <x v="1"/>
    <n v="87.3"/>
    <n v="174.6"/>
    <x v="78"/>
    <d v="2025-03-28T00:00:00"/>
    <s v="F"/>
    <x v="3"/>
    <x v="2"/>
    <x v="0"/>
    <x v="3"/>
    <x v="9"/>
    <x v="11"/>
    <x v="2"/>
  </r>
  <r>
    <s v="TX502150"/>
    <x v="1"/>
    <x v="0"/>
    <n v="63"/>
    <n v="63"/>
    <x v="78"/>
    <d v="2025-03-23T00:00:00"/>
    <s v="M"/>
    <x v="3"/>
    <x v="0"/>
    <x v="0"/>
    <x v="3"/>
    <x v="2"/>
    <x v="11"/>
    <x v="1"/>
  </r>
  <r>
    <s v="TX502151"/>
    <x v="8"/>
    <x v="1"/>
    <n v="41.7"/>
    <n v="83.4"/>
    <x v="78"/>
    <d v="2025-03-21T00:00:00"/>
    <s v="F"/>
    <x v="4"/>
    <x v="1"/>
    <x v="0"/>
    <x v="43"/>
    <x v="3"/>
    <x v="11"/>
    <x v="2"/>
  </r>
  <r>
    <s v="TX502152"/>
    <x v="6"/>
    <x v="1"/>
    <n v="76.099999999999994"/>
    <n v="152.19999999999999"/>
    <x v="78"/>
    <d v="2025-03-20T00:00:00"/>
    <s v="F"/>
    <x v="4"/>
    <x v="2"/>
    <x v="0"/>
    <x v="16"/>
    <x v="7"/>
    <x v="11"/>
    <x v="2"/>
  </r>
  <r>
    <s v="TX502153"/>
    <x v="13"/>
    <x v="1"/>
    <n v="28.5"/>
    <n v="57"/>
    <x v="78"/>
    <d v="2025-03-21T00:00:00"/>
    <s v="F"/>
    <x v="0"/>
    <x v="2"/>
    <x v="0"/>
    <x v="4"/>
    <x v="3"/>
    <x v="11"/>
    <x v="2"/>
  </r>
  <r>
    <s v="TX502154"/>
    <x v="0"/>
    <x v="12"/>
    <n v="32.1"/>
    <n v="128.4"/>
    <x v="78"/>
    <d v="2025-03-21T00:00:00"/>
    <s v="F"/>
    <x v="1"/>
    <x v="2"/>
    <x v="0"/>
    <x v="25"/>
    <x v="3"/>
    <x v="11"/>
    <x v="2"/>
  </r>
  <r>
    <s v="TX502155"/>
    <x v="4"/>
    <x v="2"/>
    <n v="39"/>
    <n v="117"/>
    <x v="78"/>
    <d v="2025-03-23T00:00:00"/>
    <s v="M"/>
    <x v="1"/>
    <x v="2"/>
    <x v="0"/>
    <x v="25"/>
    <x v="2"/>
    <x v="11"/>
    <x v="1"/>
  </r>
  <r>
    <s v="TX502156"/>
    <x v="6"/>
    <x v="0"/>
    <n v="78.5"/>
    <n v="78.5"/>
    <x v="78"/>
    <d v="2025-03-21T00:00:00"/>
    <s v="M"/>
    <x v="1"/>
    <x v="0"/>
    <x v="0"/>
    <x v="6"/>
    <x v="3"/>
    <x v="11"/>
    <x v="1"/>
  </r>
  <r>
    <s v="TX502157"/>
    <x v="4"/>
    <x v="9"/>
    <n v="49.7"/>
    <n v="248.5"/>
    <x v="78"/>
    <d v="2025-03-22T00:00:00"/>
    <s v="F"/>
    <x v="0"/>
    <x v="0"/>
    <x v="0"/>
    <x v="6"/>
    <x v="1"/>
    <x v="11"/>
    <x v="2"/>
  </r>
  <r>
    <s v="TX502158"/>
    <x v="1"/>
    <x v="12"/>
    <n v="68.400000000000006"/>
    <n v="273.60000000000002"/>
    <x v="78"/>
    <d v="2025-03-21T00:00:00"/>
    <s v="F"/>
    <x v="2"/>
    <x v="2"/>
    <x v="0"/>
    <x v="7"/>
    <x v="3"/>
    <x v="11"/>
    <x v="2"/>
  </r>
  <r>
    <s v="TX502159"/>
    <x v="3"/>
    <x v="1"/>
    <n v="72.900000000000006"/>
    <n v="145.80000000000001"/>
    <x v="78"/>
    <d v="2025-03-23T00:00:00"/>
    <s v=""/>
    <x v="0"/>
    <x v="2"/>
    <x v="0"/>
    <x v="7"/>
    <x v="2"/>
    <x v="11"/>
    <x v="0"/>
  </r>
  <r>
    <s v="TX502160"/>
    <x v="5"/>
    <x v="15"/>
    <n v="30.3"/>
    <n v="393.90000000000003"/>
    <x v="78"/>
    <d v="2025-03-21T00:00:00"/>
    <s v="M"/>
    <x v="4"/>
    <x v="0"/>
    <x v="0"/>
    <x v="7"/>
    <x v="3"/>
    <x v="11"/>
    <x v="1"/>
  </r>
  <r>
    <s v="TX502161"/>
    <x v="6"/>
    <x v="5"/>
    <n v="57.9"/>
    <n v="636.9"/>
    <x v="78"/>
    <d v="2025-03-21T00:00:00"/>
    <s v="F"/>
    <x v="0"/>
    <x v="0"/>
    <x v="0"/>
    <x v="8"/>
    <x v="3"/>
    <x v="11"/>
    <x v="2"/>
  </r>
  <r>
    <s v="TX502162"/>
    <x v="1"/>
    <x v="0"/>
    <n v="96.7"/>
    <n v="96.7"/>
    <x v="78"/>
    <d v="2025-03-21T00:00:00"/>
    <s v="M"/>
    <x v="0"/>
    <x v="0"/>
    <x v="0"/>
    <x v="8"/>
    <x v="3"/>
    <x v="11"/>
    <x v="1"/>
  </r>
  <r>
    <s v="TX502163"/>
    <x v="8"/>
    <x v="4"/>
    <n v="27.6"/>
    <n v="331.20000000000005"/>
    <x v="78"/>
    <d v="2025-03-22T00:00:00"/>
    <s v="M"/>
    <x v="2"/>
    <x v="2"/>
    <x v="0"/>
    <x v="8"/>
    <x v="1"/>
    <x v="11"/>
    <x v="1"/>
  </r>
  <r>
    <s v="TX502164"/>
    <x v="6"/>
    <x v="12"/>
    <n v="64.7"/>
    <n v="258.8"/>
    <x v="78"/>
    <d v="2025-03-20T00:00:00"/>
    <s v="M"/>
    <x v="3"/>
    <x v="2"/>
    <x v="0"/>
    <x v="8"/>
    <x v="7"/>
    <x v="11"/>
    <x v="1"/>
  </r>
  <r>
    <s v="TX502165"/>
    <x v="10"/>
    <x v="13"/>
    <n v="30.5"/>
    <n v="183"/>
    <x v="78"/>
    <d v="2025-03-21T00:00:00"/>
    <s v="M"/>
    <x v="4"/>
    <x v="0"/>
    <x v="0"/>
    <x v="8"/>
    <x v="3"/>
    <x v="11"/>
    <x v="1"/>
  </r>
  <r>
    <s v="TX502166"/>
    <x v="6"/>
    <x v="47"/>
    <n v="106"/>
    <n v="7420"/>
    <x v="79"/>
    <d v="2025-03-23T00:00:00"/>
    <s v="M"/>
    <x v="4"/>
    <x v="2"/>
    <x v="0"/>
    <x v="8"/>
    <x v="1"/>
    <x v="11"/>
    <x v="1"/>
  </r>
  <r>
    <s v="TX502167"/>
    <x v="12"/>
    <x v="9"/>
    <n v="76.8"/>
    <n v="384"/>
    <x v="79"/>
    <d v="2025-03-27T00:00:00"/>
    <s v=""/>
    <x v="1"/>
    <x v="1"/>
    <x v="0"/>
    <x v="18"/>
    <x v="4"/>
    <x v="11"/>
    <x v="0"/>
  </r>
  <r>
    <s v="TX502168"/>
    <x v="6"/>
    <x v="1"/>
    <n v="80.400000000000006"/>
    <n v="160.80000000000001"/>
    <x v="79"/>
    <d v="2025-03-22T00:00:00"/>
    <s v="F"/>
    <x v="2"/>
    <x v="0"/>
    <x v="0"/>
    <x v="13"/>
    <x v="3"/>
    <x v="11"/>
    <x v="2"/>
  </r>
  <r>
    <s v="TX502169"/>
    <x v="6"/>
    <x v="12"/>
    <n v="69.099999999999994"/>
    <n v="276.39999999999998"/>
    <x v="79"/>
    <d v="2025-03-22T00:00:00"/>
    <s v="M"/>
    <x v="1"/>
    <x v="2"/>
    <x v="0"/>
    <x v="21"/>
    <x v="3"/>
    <x v="11"/>
    <x v="1"/>
  </r>
  <r>
    <s v="TX502170"/>
    <x v="18"/>
    <x v="1"/>
    <n v="76.400000000000006"/>
    <n v="152.80000000000001"/>
    <x v="79"/>
    <d v="2025-03-21T00:00:00"/>
    <s v="M"/>
    <x v="3"/>
    <x v="0"/>
    <x v="0"/>
    <x v="21"/>
    <x v="7"/>
    <x v="11"/>
    <x v="1"/>
  </r>
  <r>
    <s v="TX502171"/>
    <x v="2"/>
    <x v="1"/>
    <n v="61.3"/>
    <n v="122.6"/>
    <x v="79"/>
    <d v="2025-03-22T00:00:00"/>
    <s v="F"/>
    <x v="1"/>
    <x v="1"/>
    <x v="0"/>
    <x v="21"/>
    <x v="3"/>
    <x v="11"/>
    <x v="2"/>
  </r>
  <r>
    <s v="TX502172"/>
    <x v="7"/>
    <x v="0"/>
    <n v="58"/>
    <n v="58"/>
    <x v="79"/>
    <d v="2025-03-22T00:00:00"/>
    <s v="M"/>
    <x v="3"/>
    <x v="1"/>
    <x v="0"/>
    <x v="1"/>
    <x v="3"/>
    <x v="11"/>
    <x v="1"/>
  </r>
  <r>
    <s v="TX502173"/>
    <x v="2"/>
    <x v="8"/>
    <n v="102.3"/>
    <n v="818.4"/>
    <x v="79"/>
    <d v="2025-03-23T00:00:00"/>
    <s v="M"/>
    <x v="2"/>
    <x v="0"/>
    <x v="0"/>
    <x v="42"/>
    <x v="1"/>
    <x v="11"/>
    <x v="1"/>
  </r>
  <r>
    <s v="TX502174"/>
    <x v="19"/>
    <x v="1"/>
    <n v="13.8"/>
    <n v="27.6"/>
    <x v="79"/>
    <d v="2025-03-22T00:00:00"/>
    <s v="F"/>
    <x v="4"/>
    <x v="2"/>
    <x v="0"/>
    <x v="2"/>
    <x v="3"/>
    <x v="11"/>
    <x v="2"/>
  </r>
  <r>
    <s v="TX502175"/>
    <x v="8"/>
    <x v="2"/>
    <n v="33.299999999999997"/>
    <n v="99.899999999999991"/>
    <x v="79"/>
    <d v="2025-03-24T00:00:00"/>
    <s v="F"/>
    <x v="2"/>
    <x v="0"/>
    <x v="0"/>
    <x v="22"/>
    <x v="2"/>
    <x v="11"/>
    <x v="2"/>
  </r>
  <r>
    <s v="TX502176"/>
    <x v="10"/>
    <x v="0"/>
    <n v="27.4"/>
    <n v="27.4"/>
    <x v="79"/>
    <d v="2025-03-24T00:00:00"/>
    <s v="M"/>
    <x v="0"/>
    <x v="2"/>
    <x v="0"/>
    <x v="22"/>
    <x v="2"/>
    <x v="11"/>
    <x v="1"/>
  </r>
  <r>
    <s v="TX502177"/>
    <x v="14"/>
    <x v="1"/>
    <n v="25.6"/>
    <n v="51.2"/>
    <x v="79"/>
    <d v="2025-03-22T00:00:00"/>
    <s v="F"/>
    <x v="1"/>
    <x v="1"/>
    <x v="0"/>
    <x v="3"/>
    <x v="3"/>
    <x v="11"/>
    <x v="2"/>
  </r>
  <r>
    <s v="TX502178"/>
    <x v="13"/>
    <x v="0"/>
    <n v="58.4"/>
    <n v="58.4"/>
    <x v="79"/>
    <d v="2025-03-22T00:00:00"/>
    <s v="F"/>
    <x v="2"/>
    <x v="2"/>
    <x v="0"/>
    <x v="3"/>
    <x v="3"/>
    <x v="11"/>
    <x v="2"/>
  </r>
  <r>
    <s v="TX502179"/>
    <x v="11"/>
    <x v="17"/>
    <n v="27"/>
    <n v="810"/>
    <x v="79"/>
    <d v="2025-03-22T00:00:00"/>
    <s v="F"/>
    <x v="4"/>
    <x v="0"/>
    <x v="0"/>
    <x v="3"/>
    <x v="3"/>
    <x v="11"/>
    <x v="2"/>
  </r>
  <r>
    <s v="TX502180"/>
    <x v="0"/>
    <x v="12"/>
    <n v="14.2"/>
    <n v="56.8"/>
    <x v="79"/>
    <d v="2025-03-22T00:00:00"/>
    <s v="M"/>
    <x v="0"/>
    <x v="2"/>
    <x v="0"/>
    <x v="3"/>
    <x v="3"/>
    <x v="11"/>
    <x v="1"/>
  </r>
  <r>
    <s v="TX502181"/>
    <x v="7"/>
    <x v="1"/>
    <n v="68"/>
    <n v="136"/>
    <x v="79"/>
    <d v="2025-03-31T00:00:00"/>
    <s v="M"/>
    <x v="2"/>
    <x v="1"/>
    <x v="0"/>
    <x v="3"/>
    <x v="14"/>
    <x v="11"/>
    <x v="1"/>
  </r>
  <r>
    <s v="TX502182"/>
    <x v="8"/>
    <x v="0"/>
    <n v="30.7"/>
    <n v="30.7"/>
    <x v="79"/>
    <d v="2025-03-22T00:00:00"/>
    <s v="M"/>
    <x v="0"/>
    <x v="0"/>
    <x v="0"/>
    <x v="3"/>
    <x v="3"/>
    <x v="11"/>
    <x v="1"/>
  </r>
  <r>
    <s v="TX502183"/>
    <x v="17"/>
    <x v="15"/>
    <n v="51.6"/>
    <n v="670.80000000000007"/>
    <x v="79"/>
    <d v="2025-03-24T00:00:00"/>
    <s v="O"/>
    <x v="1"/>
    <x v="2"/>
    <x v="0"/>
    <x v="3"/>
    <x v="2"/>
    <x v="11"/>
    <x v="3"/>
  </r>
  <r>
    <s v="TX502184"/>
    <x v="8"/>
    <x v="2"/>
    <n v="20.6"/>
    <n v="61.800000000000004"/>
    <x v="79"/>
    <d v="2025-03-25T00:00:00"/>
    <s v="F"/>
    <x v="4"/>
    <x v="2"/>
    <x v="0"/>
    <x v="3"/>
    <x v="5"/>
    <x v="11"/>
    <x v="2"/>
  </r>
  <r>
    <s v="TX502185"/>
    <x v="8"/>
    <x v="0"/>
    <n v="24.8"/>
    <n v="24.8"/>
    <x v="79"/>
    <d v="2025-03-22T00:00:00"/>
    <s v="M"/>
    <x v="4"/>
    <x v="0"/>
    <x v="0"/>
    <x v="3"/>
    <x v="3"/>
    <x v="11"/>
    <x v="1"/>
  </r>
  <r>
    <s v="TX502186"/>
    <x v="0"/>
    <x v="3"/>
    <n v="11.2"/>
    <n v="78.399999999999991"/>
    <x v="79"/>
    <d v="2025-03-24T00:00:00"/>
    <s v="M"/>
    <x v="1"/>
    <x v="0"/>
    <x v="0"/>
    <x v="3"/>
    <x v="2"/>
    <x v="11"/>
    <x v="1"/>
  </r>
  <r>
    <s v="TX502187"/>
    <x v="11"/>
    <x v="1"/>
    <n v="51.2"/>
    <n v="102.4"/>
    <x v="79"/>
    <d v="2025-03-22T00:00:00"/>
    <s v="F"/>
    <x v="1"/>
    <x v="2"/>
    <x v="0"/>
    <x v="3"/>
    <x v="3"/>
    <x v="11"/>
    <x v="2"/>
  </r>
  <r>
    <s v="TX502188"/>
    <x v="7"/>
    <x v="13"/>
    <n v="90.5"/>
    <n v="543"/>
    <x v="79"/>
    <d v="2025-03-22T00:00:00"/>
    <s v="F"/>
    <x v="1"/>
    <x v="4"/>
    <x v="0"/>
    <x v="3"/>
    <x v="3"/>
    <x v="11"/>
    <x v="2"/>
  </r>
  <r>
    <s v="TX502189"/>
    <x v="1"/>
    <x v="1"/>
    <n v="42.4"/>
    <n v="84.8"/>
    <x v="79"/>
    <d v="2025-03-22T00:00:00"/>
    <s v="M"/>
    <x v="1"/>
    <x v="2"/>
    <x v="0"/>
    <x v="4"/>
    <x v="3"/>
    <x v="11"/>
    <x v="1"/>
  </r>
  <r>
    <s v="TX502190"/>
    <x v="1"/>
    <x v="1"/>
    <n v="38.200000000000003"/>
    <n v="76.400000000000006"/>
    <x v="79"/>
    <d v="2025-03-22T00:00:00"/>
    <s v="M"/>
    <x v="0"/>
    <x v="0"/>
    <x v="0"/>
    <x v="5"/>
    <x v="3"/>
    <x v="11"/>
    <x v="1"/>
  </r>
  <r>
    <s v="TX502191"/>
    <x v="2"/>
    <x v="11"/>
    <n v="121.3"/>
    <n v="1091.7"/>
    <x v="79"/>
    <d v="2025-03-26T00:00:00"/>
    <s v="M"/>
    <x v="0"/>
    <x v="0"/>
    <x v="0"/>
    <x v="6"/>
    <x v="0"/>
    <x v="11"/>
    <x v="1"/>
  </r>
  <r>
    <s v="TX502192"/>
    <x v="6"/>
    <x v="1"/>
    <n v="46.9"/>
    <n v="93.8"/>
    <x v="79"/>
    <d v="2025-03-28T00:00:00"/>
    <s v="M"/>
    <x v="0"/>
    <x v="0"/>
    <x v="0"/>
    <x v="8"/>
    <x v="6"/>
    <x v="11"/>
    <x v="1"/>
  </r>
  <r>
    <s v="TX502193"/>
    <x v="10"/>
    <x v="0"/>
    <n v="55.3"/>
    <n v="55.3"/>
    <x v="79"/>
    <d v="2025-03-23T00:00:00"/>
    <s v="M"/>
    <x v="0"/>
    <x v="0"/>
    <x v="0"/>
    <x v="8"/>
    <x v="1"/>
    <x v="11"/>
    <x v="1"/>
  </r>
  <r>
    <s v="TX502194"/>
    <x v="2"/>
    <x v="2"/>
    <n v="70.599999999999994"/>
    <n v="211.79999999999998"/>
    <x v="80"/>
    <d v="2025-03-22T00:00:00"/>
    <s v="F"/>
    <x v="0"/>
    <x v="1"/>
    <x v="0"/>
    <x v="8"/>
    <x v="7"/>
    <x v="11"/>
    <x v="2"/>
  </r>
  <r>
    <s v="TX502195"/>
    <x v="14"/>
    <x v="12"/>
    <n v="26.1"/>
    <n v="104.4"/>
    <x v="80"/>
    <d v="2025-03-24T00:00:00"/>
    <s v="M"/>
    <x v="0"/>
    <x v="0"/>
    <x v="0"/>
    <x v="8"/>
    <x v="1"/>
    <x v="11"/>
    <x v="1"/>
  </r>
  <r>
    <s v="TX502196"/>
    <x v="9"/>
    <x v="5"/>
    <n v="34.5"/>
    <n v="379.5"/>
    <x v="80"/>
    <d v="2025-03-26T00:00:00"/>
    <s v="M"/>
    <x v="2"/>
    <x v="0"/>
    <x v="0"/>
    <x v="17"/>
    <x v="5"/>
    <x v="11"/>
    <x v="1"/>
  </r>
  <r>
    <s v="TX502197"/>
    <x v="1"/>
    <x v="1"/>
    <n v="64.2"/>
    <n v="128.4"/>
    <x v="80"/>
    <d v="2025-03-23T00:00:00"/>
    <s v="F"/>
    <x v="0"/>
    <x v="1"/>
    <x v="0"/>
    <x v="17"/>
    <x v="3"/>
    <x v="11"/>
    <x v="2"/>
  </r>
  <r>
    <s v="TX502198"/>
    <x v="2"/>
    <x v="12"/>
    <n v="145.69999999999999"/>
    <n v="582.79999999999995"/>
    <x v="80"/>
    <d v="2025-03-23T00:00:00"/>
    <s v="F"/>
    <x v="0"/>
    <x v="4"/>
    <x v="0"/>
    <x v="17"/>
    <x v="3"/>
    <x v="11"/>
    <x v="2"/>
  </r>
  <r>
    <s v="TX502199"/>
    <x v="12"/>
    <x v="1"/>
    <n v="78.5"/>
    <n v="157"/>
    <x v="80"/>
    <d v="2025-03-23T00:00:00"/>
    <s v="M"/>
    <x v="2"/>
    <x v="0"/>
    <x v="0"/>
    <x v="26"/>
    <x v="3"/>
    <x v="11"/>
    <x v="1"/>
  </r>
  <r>
    <s v="TX502200"/>
    <x v="1"/>
    <x v="0"/>
    <n v="34.200000000000003"/>
    <n v="34.200000000000003"/>
    <x v="80"/>
    <d v="2025-03-24T00:00:00"/>
    <s v="M"/>
    <x v="0"/>
    <x v="0"/>
    <x v="0"/>
    <x v="9"/>
    <x v="1"/>
    <x v="11"/>
    <x v="1"/>
  </r>
  <r>
    <s v="TX502201"/>
    <x v="19"/>
    <x v="0"/>
    <n v="26.2"/>
    <n v="26.2"/>
    <x v="80"/>
    <d v="2025-03-23T00:00:00"/>
    <s v="M"/>
    <x v="2"/>
    <x v="0"/>
    <x v="0"/>
    <x v="9"/>
    <x v="3"/>
    <x v="11"/>
    <x v="1"/>
  </r>
  <r>
    <s v="TX502202"/>
    <x v="6"/>
    <x v="12"/>
    <n v="53.2"/>
    <n v="212.8"/>
    <x v="80"/>
    <d v="2025-03-23T00:00:00"/>
    <s v="M"/>
    <x v="1"/>
    <x v="1"/>
    <x v="0"/>
    <x v="11"/>
    <x v="3"/>
    <x v="11"/>
    <x v="1"/>
  </r>
  <r>
    <s v="TX502203"/>
    <x v="1"/>
    <x v="0"/>
    <n v="35.4"/>
    <n v="35.4"/>
    <x v="80"/>
    <d v="2025-03-26T00:00:00"/>
    <s v="M"/>
    <x v="1"/>
    <x v="4"/>
    <x v="0"/>
    <x v="18"/>
    <x v="5"/>
    <x v="11"/>
    <x v="1"/>
  </r>
  <r>
    <s v="TX502204"/>
    <x v="14"/>
    <x v="1"/>
    <n v="21.3"/>
    <n v="42.6"/>
    <x v="80"/>
    <d v="2025-03-23T00:00:00"/>
    <s v="M"/>
    <x v="2"/>
    <x v="0"/>
    <x v="0"/>
    <x v="20"/>
    <x v="3"/>
    <x v="11"/>
    <x v="1"/>
  </r>
  <r>
    <s v="TX502205"/>
    <x v="8"/>
    <x v="12"/>
    <n v="32.9"/>
    <n v="131.6"/>
    <x v="80"/>
    <d v="2025-03-25T00:00:00"/>
    <s v="F"/>
    <x v="4"/>
    <x v="2"/>
    <x v="0"/>
    <x v="21"/>
    <x v="2"/>
    <x v="11"/>
    <x v="2"/>
  </r>
  <r>
    <s v="TX502206"/>
    <x v="5"/>
    <x v="20"/>
    <n v="85.5"/>
    <n v="1282.5"/>
    <x v="80"/>
    <d v="2025-03-24T00:00:00"/>
    <s v="F"/>
    <x v="3"/>
    <x v="1"/>
    <x v="0"/>
    <x v="21"/>
    <x v="1"/>
    <x v="11"/>
    <x v="2"/>
  </r>
  <r>
    <s v="TX502207"/>
    <x v="4"/>
    <x v="0"/>
    <n v="26.8"/>
    <n v="26.8"/>
    <x v="80"/>
    <d v="2025-03-23T00:00:00"/>
    <s v="F"/>
    <x v="0"/>
    <x v="1"/>
    <x v="0"/>
    <x v="2"/>
    <x v="3"/>
    <x v="11"/>
    <x v="2"/>
  </r>
  <r>
    <s v="TX502208"/>
    <x v="9"/>
    <x v="18"/>
    <n v="31.7"/>
    <n v="824.19999999999993"/>
    <x v="80"/>
    <d v="2025-03-22T00:00:00"/>
    <s v="F"/>
    <x v="3"/>
    <x v="0"/>
    <x v="0"/>
    <x v="2"/>
    <x v="7"/>
    <x v="11"/>
    <x v="2"/>
  </r>
  <r>
    <s v="TX502209"/>
    <x v="1"/>
    <x v="1"/>
    <n v="78.3"/>
    <n v="156.6"/>
    <x v="80"/>
    <d v="2025-03-24T00:00:00"/>
    <s v="F"/>
    <x v="1"/>
    <x v="1"/>
    <x v="0"/>
    <x v="3"/>
    <x v="1"/>
    <x v="11"/>
    <x v="2"/>
  </r>
  <r>
    <s v="TX502210"/>
    <x v="6"/>
    <x v="0"/>
    <n v="43.9"/>
    <n v="43.9"/>
    <x v="80"/>
    <d v="2025-03-23T00:00:00"/>
    <s v="M"/>
    <x v="0"/>
    <x v="0"/>
    <x v="0"/>
    <x v="3"/>
    <x v="3"/>
    <x v="11"/>
    <x v="1"/>
  </r>
  <r>
    <s v="TX502211"/>
    <x v="18"/>
    <x v="2"/>
    <n v="84"/>
    <n v="252"/>
    <x v="80"/>
    <d v="2025-03-24T00:00:00"/>
    <s v=""/>
    <x v="3"/>
    <x v="2"/>
    <x v="0"/>
    <x v="3"/>
    <x v="1"/>
    <x v="11"/>
    <x v="0"/>
  </r>
  <r>
    <s v="TX502212"/>
    <x v="0"/>
    <x v="2"/>
    <n v="11.4"/>
    <n v="34.200000000000003"/>
    <x v="80"/>
    <d v="2025-03-23T00:00:00"/>
    <s v="M"/>
    <x v="4"/>
    <x v="0"/>
    <x v="0"/>
    <x v="3"/>
    <x v="3"/>
    <x v="11"/>
    <x v="1"/>
  </r>
  <r>
    <s v="TX502213"/>
    <x v="12"/>
    <x v="8"/>
    <n v="47.5"/>
    <n v="380"/>
    <x v="80"/>
    <d v="2025-03-30T00:00:00"/>
    <s v="F"/>
    <x v="0"/>
    <x v="0"/>
    <x v="0"/>
    <x v="3"/>
    <x v="9"/>
    <x v="11"/>
    <x v="2"/>
  </r>
  <r>
    <s v="TX502214"/>
    <x v="9"/>
    <x v="5"/>
    <n v="50.5"/>
    <n v="555.5"/>
    <x v="80"/>
    <d v="2025-03-24T00:00:00"/>
    <s v="M"/>
    <x v="2"/>
    <x v="0"/>
    <x v="0"/>
    <x v="3"/>
    <x v="1"/>
    <x v="11"/>
    <x v="1"/>
  </r>
  <r>
    <s v="TX502215"/>
    <x v="15"/>
    <x v="0"/>
    <n v="36.299999999999997"/>
    <n v="36.299999999999997"/>
    <x v="80"/>
    <d v="2025-03-25T00:00:00"/>
    <s v="O"/>
    <x v="0"/>
    <x v="1"/>
    <x v="0"/>
    <x v="8"/>
    <x v="2"/>
    <x v="11"/>
    <x v="3"/>
  </r>
  <r>
    <s v="TX502216"/>
    <x v="8"/>
    <x v="1"/>
    <n v="35.4"/>
    <n v="70.8"/>
    <x v="80"/>
    <d v="2025-03-23T00:00:00"/>
    <s v="F"/>
    <x v="0"/>
    <x v="0"/>
    <x v="0"/>
    <x v="17"/>
    <x v="3"/>
    <x v="11"/>
    <x v="2"/>
  </r>
  <r>
    <s v="TX502217"/>
    <x v="1"/>
    <x v="2"/>
    <n v="45.9"/>
    <n v="137.69999999999999"/>
    <x v="81"/>
    <d v="2025-03-24T00:00:00"/>
    <s v="M"/>
    <x v="3"/>
    <x v="0"/>
    <x v="0"/>
    <x v="9"/>
    <x v="3"/>
    <x v="12"/>
    <x v="1"/>
  </r>
  <r>
    <s v="TX502218"/>
    <x v="6"/>
    <x v="7"/>
    <n v="41.2"/>
    <n v="412"/>
    <x v="81"/>
    <d v="2025-03-27T00:00:00"/>
    <s v="M"/>
    <x v="0"/>
    <x v="0"/>
    <x v="0"/>
    <x v="11"/>
    <x v="5"/>
    <x v="12"/>
    <x v="1"/>
  </r>
  <r>
    <s v="TX502219"/>
    <x v="17"/>
    <x v="1"/>
    <n v="45.1"/>
    <n v="90.2"/>
    <x v="81"/>
    <d v="2025-03-24T00:00:00"/>
    <s v="M"/>
    <x v="1"/>
    <x v="1"/>
    <x v="0"/>
    <x v="21"/>
    <x v="3"/>
    <x v="12"/>
    <x v="1"/>
  </r>
  <r>
    <s v="TX502220"/>
    <x v="6"/>
    <x v="7"/>
    <n v="63.6"/>
    <n v="636"/>
    <x v="81"/>
    <d v="2025-03-23T00:00:00"/>
    <s v="M"/>
    <x v="2"/>
    <x v="0"/>
    <x v="0"/>
    <x v="1"/>
    <x v="7"/>
    <x v="12"/>
    <x v="1"/>
  </r>
  <r>
    <s v="TX502221"/>
    <x v="8"/>
    <x v="0"/>
    <n v="70.5"/>
    <n v="70.5"/>
    <x v="81"/>
    <d v="2025-03-24T00:00:00"/>
    <s v="M"/>
    <x v="0"/>
    <x v="0"/>
    <x v="0"/>
    <x v="3"/>
    <x v="3"/>
    <x v="12"/>
    <x v="1"/>
  </r>
  <r>
    <s v="TX502222"/>
    <x v="6"/>
    <x v="0"/>
    <n v="41.3"/>
    <n v="41.3"/>
    <x v="81"/>
    <d v="2025-03-23T00:00:00"/>
    <s v="M"/>
    <x v="4"/>
    <x v="0"/>
    <x v="0"/>
    <x v="3"/>
    <x v="7"/>
    <x v="12"/>
    <x v="1"/>
  </r>
  <r>
    <s v="TX502223"/>
    <x v="4"/>
    <x v="0"/>
    <n v="35.299999999999997"/>
    <n v="35.299999999999997"/>
    <x v="81"/>
    <d v="2025-03-26T00:00:00"/>
    <s v="F"/>
    <x v="4"/>
    <x v="2"/>
    <x v="0"/>
    <x v="3"/>
    <x v="2"/>
    <x v="12"/>
    <x v="2"/>
  </r>
  <r>
    <s v="TX502224"/>
    <x v="8"/>
    <x v="9"/>
    <n v="34.700000000000003"/>
    <n v="173.5"/>
    <x v="81"/>
    <d v="2025-03-24T00:00:00"/>
    <s v="F"/>
    <x v="0"/>
    <x v="2"/>
    <x v="0"/>
    <x v="3"/>
    <x v="3"/>
    <x v="12"/>
    <x v="2"/>
  </r>
  <r>
    <s v="TX502225"/>
    <x v="8"/>
    <x v="2"/>
    <n v="26.1"/>
    <n v="78.300000000000011"/>
    <x v="81"/>
    <d v="2025-03-24T00:00:00"/>
    <s v="F"/>
    <x v="0"/>
    <x v="0"/>
    <x v="0"/>
    <x v="3"/>
    <x v="3"/>
    <x v="12"/>
    <x v="2"/>
  </r>
  <r>
    <s v="TX502226"/>
    <x v="9"/>
    <x v="9"/>
    <n v="22.6"/>
    <n v="113"/>
    <x v="81"/>
    <d v="2025-03-23T00:00:00"/>
    <s v="F"/>
    <x v="1"/>
    <x v="2"/>
    <x v="0"/>
    <x v="3"/>
    <x v="7"/>
    <x v="12"/>
    <x v="2"/>
  </r>
  <r>
    <s v="TX502227"/>
    <x v="2"/>
    <x v="1"/>
    <n v="154.4"/>
    <n v="308.8"/>
    <x v="81"/>
    <d v="2025-03-26T00:00:00"/>
    <s v="M"/>
    <x v="1"/>
    <x v="1"/>
    <x v="0"/>
    <x v="3"/>
    <x v="2"/>
    <x v="12"/>
    <x v="1"/>
  </r>
  <r>
    <s v="TX502228"/>
    <x v="8"/>
    <x v="1"/>
    <n v="18.399999999999999"/>
    <n v="36.799999999999997"/>
    <x v="81"/>
    <d v="2025-03-24T00:00:00"/>
    <s v="M"/>
    <x v="0"/>
    <x v="0"/>
    <x v="0"/>
    <x v="3"/>
    <x v="3"/>
    <x v="12"/>
    <x v="1"/>
  </r>
  <r>
    <s v="TX502229"/>
    <x v="14"/>
    <x v="0"/>
    <n v="25"/>
    <n v="25"/>
    <x v="81"/>
    <d v="2025-03-26T00:00:00"/>
    <s v="F"/>
    <x v="0"/>
    <x v="0"/>
    <x v="0"/>
    <x v="3"/>
    <x v="2"/>
    <x v="12"/>
    <x v="2"/>
  </r>
  <r>
    <s v="TX502230"/>
    <x v="2"/>
    <x v="13"/>
    <n v="105.6"/>
    <n v="633.59999999999991"/>
    <x v="81"/>
    <d v="2025-03-23T00:00:00"/>
    <s v="F"/>
    <x v="0"/>
    <x v="0"/>
    <x v="0"/>
    <x v="3"/>
    <x v="7"/>
    <x v="12"/>
    <x v="2"/>
  </r>
  <r>
    <s v="TX502231"/>
    <x v="18"/>
    <x v="8"/>
    <n v="59.6"/>
    <n v="476.8"/>
    <x v="81"/>
    <d v="2025-03-23T00:00:00"/>
    <s v="F"/>
    <x v="0"/>
    <x v="2"/>
    <x v="0"/>
    <x v="23"/>
    <x v="7"/>
    <x v="12"/>
    <x v="2"/>
  </r>
  <r>
    <s v="TX502232"/>
    <x v="15"/>
    <x v="2"/>
    <n v="75.400000000000006"/>
    <n v="226.20000000000002"/>
    <x v="81"/>
    <d v="2025-03-28T00:00:00"/>
    <s v="M"/>
    <x v="0"/>
    <x v="1"/>
    <x v="0"/>
    <x v="7"/>
    <x v="0"/>
    <x v="12"/>
    <x v="1"/>
  </r>
  <r>
    <s v="TX502233"/>
    <x v="7"/>
    <x v="0"/>
    <n v="104.4"/>
    <n v="104.4"/>
    <x v="81"/>
    <d v="2025-03-24T00:00:00"/>
    <s v="F"/>
    <x v="0"/>
    <x v="0"/>
    <x v="0"/>
    <x v="8"/>
    <x v="3"/>
    <x v="12"/>
    <x v="2"/>
  </r>
  <r>
    <s v="TX502234"/>
    <x v="2"/>
    <x v="7"/>
    <n v="208.2"/>
    <n v="2082"/>
    <x v="81"/>
    <d v="2025-03-24T00:00:00"/>
    <s v="M"/>
    <x v="0"/>
    <x v="2"/>
    <x v="0"/>
    <x v="8"/>
    <x v="3"/>
    <x v="12"/>
    <x v="1"/>
  </r>
  <r>
    <s v="TX502235"/>
    <x v="6"/>
    <x v="1"/>
    <n v="45"/>
    <n v="90"/>
    <x v="81"/>
    <d v="2025-03-26T00:00:00"/>
    <s v="F"/>
    <x v="0"/>
    <x v="0"/>
    <x v="0"/>
    <x v="10"/>
    <x v="2"/>
    <x v="12"/>
    <x v="2"/>
  </r>
  <r>
    <s v="TX502236"/>
    <x v="15"/>
    <x v="1"/>
    <n v="20.3"/>
    <n v="40.6"/>
    <x v="82"/>
    <d v="2025-03-26T00:00:00"/>
    <s v=""/>
    <x v="1"/>
    <x v="0"/>
    <x v="0"/>
    <x v="11"/>
    <x v="1"/>
    <x v="12"/>
    <x v="0"/>
  </r>
  <r>
    <s v="TX502237"/>
    <x v="2"/>
    <x v="2"/>
    <n v="94.4"/>
    <n v="283.20000000000005"/>
    <x v="82"/>
    <d v="2025-03-25T00:00:00"/>
    <s v="F"/>
    <x v="0"/>
    <x v="2"/>
    <x v="0"/>
    <x v="11"/>
    <x v="3"/>
    <x v="12"/>
    <x v="2"/>
  </r>
  <r>
    <s v="TX502238"/>
    <x v="9"/>
    <x v="0"/>
    <n v="49"/>
    <n v="49"/>
    <x v="82"/>
    <d v="2025-03-26T00:00:00"/>
    <s v="F"/>
    <x v="0"/>
    <x v="2"/>
    <x v="0"/>
    <x v="20"/>
    <x v="1"/>
    <x v="12"/>
    <x v="2"/>
  </r>
  <r>
    <s v="TX502239"/>
    <x v="4"/>
    <x v="1"/>
    <n v="27.2"/>
    <n v="54.4"/>
    <x v="82"/>
    <d v="2025-03-26T00:00:00"/>
    <s v="M"/>
    <x v="0"/>
    <x v="2"/>
    <x v="0"/>
    <x v="1"/>
    <x v="1"/>
    <x v="12"/>
    <x v="1"/>
  </r>
  <r>
    <s v="TX502240"/>
    <x v="2"/>
    <x v="13"/>
    <n v="72.599999999999994"/>
    <n v="435.59999999999997"/>
    <x v="82"/>
    <d v="2025-03-25T00:00:00"/>
    <s v="F"/>
    <x v="0"/>
    <x v="2"/>
    <x v="0"/>
    <x v="2"/>
    <x v="3"/>
    <x v="12"/>
    <x v="2"/>
  </r>
  <r>
    <s v="TX502241"/>
    <x v="15"/>
    <x v="12"/>
    <n v="62.4"/>
    <n v="249.6"/>
    <x v="82"/>
    <d v="2025-03-25T00:00:00"/>
    <s v="F"/>
    <x v="0"/>
    <x v="0"/>
    <x v="0"/>
    <x v="3"/>
    <x v="3"/>
    <x v="12"/>
    <x v="2"/>
  </r>
  <r>
    <s v="TX502242"/>
    <x v="8"/>
    <x v="2"/>
    <n v="19.100000000000001"/>
    <n v="57.300000000000004"/>
    <x v="82"/>
    <d v="2025-03-26T00:00:00"/>
    <s v="M"/>
    <x v="0"/>
    <x v="1"/>
    <x v="0"/>
    <x v="3"/>
    <x v="1"/>
    <x v="12"/>
    <x v="1"/>
  </r>
  <r>
    <s v="TX502243"/>
    <x v="10"/>
    <x v="0"/>
    <n v="29.6"/>
    <n v="29.6"/>
    <x v="82"/>
    <d v="2025-03-28T00:00:00"/>
    <s v="M"/>
    <x v="0"/>
    <x v="4"/>
    <x v="0"/>
    <x v="3"/>
    <x v="5"/>
    <x v="12"/>
    <x v="1"/>
  </r>
  <r>
    <s v="TX502244"/>
    <x v="8"/>
    <x v="1"/>
    <n v="18.899999999999999"/>
    <n v="37.799999999999997"/>
    <x v="82"/>
    <d v="2025-03-26T00:00:00"/>
    <s v="F"/>
    <x v="4"/>
    <x v="2"/>
    <x v="0"/>
    <x v="3"/>
    <x v="1"/>
    <x v="12"/>
    <x v="2"/>
  </r>
  <r>
    <s v="TX502245"/>
    <x v="10"/>
    <x v="9"/>
    <n v="41.4"/>
    <n v="207"/>
    <x v="82"/>
    <d v="2025-03-25T00:00:00"/>
    <s v="M"/>
    <x v="3"/>
    <x v="0"/>
    <x v="0"/>
    <x v="3"/>
    <x v="3"/>
    <x v="12"/>
    <x v="1"/>
  </r>
  <r>
    <s v="TX502246"/>
    <x v="2"/>
    <x v="0"/>
    <n v="118.4"/>
    <n v="118.4"/>
    <x v="82"/>
    <d v="2025-03-25T00:00:00"/>
    <s v="F"/>
    <x v="0"/>
    <x v="2"/>
    <x v="0"/>
    <x v="3"/>
    <x v="3"/>
    <x v="12"/>
    <x v="2"/>
  </r>
  <r>
    <s v="TX502247"/>
    <x v="2"/>
    <x v="1"/>
    <n v="125.3"/>
    <n v="250.6"/>
    <x v="82"/>
    <d v="2025-03-27T00:00:00"/>
    <s v="F"/>
    <x v="0"/>
    <x v="2"/>
    <x v="0"/>
    <x v="3"/>
    <x v="2"/>
    <x v="12"/>
    <x v="2"/>
  </r>
  <r>
    <s v="TX502248"/>
    <x v="3"/>
    <x v="1"/>
    <n v="85.8"/>
    <n v="171.6"/>
    <x v="82"/>
    <d v="2025-03-25T00:00:00"/>
    <s v="F"/>
    <x v="1"/>
    <x v="4"/>
    <x v="0"/>
    <x v="3"/>
    <x v="3"/>
    <x v="12"/>
    <x v="2"/>
  </r>
  <r>
    <s v="TX502249"/>
    <x v="6"/>
    <x v="0"/>
    <n v="44.2"/>
    <n v="44.2"/>
    <x v="82"/>
    <d v="2025-03-27T00:00:00"/>
    <s v="M"/>
    <x v="1"/>
    <x v="0"/>
    <x v="0"/>
    <x v="3"/>
    <x v="2"/>
    <x v="12"/>
    <x v="1"/>
  </r>
  <r>
    <s v="TX502250"/>
    <x v="5"/>
    <x v="12"/>
    <n v="74.099999999999994"/>
    <n v="296.39999999999998"/>
    <x v="82"/>
    <d v="2025-03-26T00:00:00"/>
    <s v="F"/>
    <x v="0"/>
    <x v="0"/>
    <x v="0"/>
    <x v="3"/>
    <x v="1"/>
    <x v="12"/>
    <x v="2"/>
  </r>
  <r>
    <s v="TX502251"/>
    <x v="8"/>
    <x v="0"/>
    <n v="33.799999999999997"/>
    <n v="33.799999999999997"/>
    <x v="82"/>
    <d v="2025-03-25T00:00:00"/>
    <s v="F"/>
    <x v="2"/>
    <x v="2"/>
    <x v="0"/>
    <x v="24"/>
    <x v="3"/>
    <x v="12"/>
    <x v="2"/>
  </r>
  <r>
    <s v="TX502252"/>
    <x v="1"/>
    <x v="1"/>
    <n v="39.1"/>
    <n v="78.2"/>
    <x v="82"/>
    <d v="2025-03-25T00:00:00"/>
    <s v="M"/>
    <x v="0"/>
    <x v="1"/>
    <x v="0"/>
    <x v="24"/>
    <x v="3"/>
    <x v="12"/>
    <x v="1"/>
  </r>
  <r>
    <s v="TX502253"/>
    <x v="0"/>
    <x v="0"/>
    <n v="37.200000000000003"/>
    <n v="37.200000000000003"/>
    <x v="82"/>
    <d v="2025-03-25T00:00:00"/>
    <s v="M"/>
    <x v="0"/>
    <x v="1"/>
    <x v="0"/>
    <x v="16"/>
    <x v="3"/>
    <x v="12"/>
    <x v="1"/>
  </r>
  <r>
    <s v="TX502254"/>
    <x v="15"/>
    <x v="2"/>
    <n v="33.9"/>
    <n v="101.69999999999999"/>
    <x v="82"/>
    <d v="2025-03-26T00:00:00"/>
    <s v="M"/>
    <x v="2"/>
    <x v="0"/>
    <x v="0"/>
    <x v="6"/>
    <x v="1"/>
    <x v="12"/>
    <x v="1"/>
  </r>
  <r>
    <s v="TX502255"/>
    <x v="7"/>
    <x v="20"/>
    <n v="73.3"/>
    <n v="1099.5"/>
    <x v="82"/>
    <d v="2025-03-27T00:00:00"/>
    <s v="F"/>
    <x v="2"/>
    <x v="1"/>
    <x v="0"/>
    <x v="8"/>
    <x v="2"/>
    <x v="12"/>
    <x v="2"/>
  </r>
  <r>
    <s v="TX502256"/>
    <x v="8"/>
    <x v="12"/>
    <n v="35"/>
    <n v="140"/>
    <x v="82"/>
    <d v="2025-03-26T00:00:00"/>
    <s v="F"/>
    <x v="1"/>
    <x v="0"/>
    <x v="0"/>
    <x v="8"/>
    <x v="1"/>
    <x v="12"/>
    <x v="2"/>
  </r>
  <r>
    <s v="TX502257"/>
    <x v="0"/>
    <x v="2"/>
    <n v="22.2"/>
    <n v="66.599999999999994"/>
    <x v="82"/>
    <d v="2025-03-25T00:00:00"/>
    <s v="M"/>
    <x v="1"/>
    <x v="0"/>
    <x v="0"/>
    <x v="17"/>
    <x v="3"/>
    <x v="12"/>
    <x v="1"/>
  </r>
  <r>
    <s v="TX502258"/>
    <x v="10"/>
    <x v="0"/>
    <n v="32.4"/>
    <n v="32.4"/>
    <x v="82"/>
    <d v="2025-03-25T00:00:00"/>
    <s v="F"/>
    <x v="0"/>
    <x v="0"/>
    <x v="0"/>
    <x v="11"/>
    <x v="3"/>
    <x v="12"/>
    <x v="2"/>
  </r>
  <r>
    <s v="TX502259"/>
    <x v="5"/>
    <x v="2"/>
    <n v="88.4"/>
    <n v="265.20000000000005"/>
    <x v="83"/>
    <d v="2025-03-27T00:00:00"/>
    <s v="F"/>
    <x v="1"/>
    <x v="1"/>
    <x v="0"/>
    <x v="11"/>
    <x v="1"/>
    <x v="12"/>
    <x v="2"/>
  </r>
  <r>
    <s v="TX502260"/>
    <x v="5"/>
    <x v="27"/>
    <n v="30.5"/>
    <n v="488"/>
    <x v="83"/>
    <d v="2025-03-26T00:00:00"/>
    <s v="F"/>
    <x v="2"/>
    <x v="0"/>
    <x v="0"/>
    <x v="11"/>
    <x v="3"/>
    <x v="12"/>
    <x v="2"/>
  </r>
  <r>
    <s v="TX502261"/>
    <x v="1"/>
    <x v="13"/>
    <n v="38.1"/>
    <n v="228.60000000000002"/>
    <x v="83"/>
    <d v="2025-03-27T00:00:00"/>
    <s v="F"/>
    <x v="0"/>
    <x v="1"/>
    <x v="0"/>
    <x v="11"/>
    <x v="1"/>
    <x v="12"/>
    <x v="2"/>
  </r>
  <r>
    <s v="TX502262"/>
    <x v="10"/>
    <x v="9"/>
    <n v="37.6"/>
    <n v="188"/>
    <x v="83"/>
    <d v="2025-03-29T00:00:00"/>
    <s v="M"/>
    <x v="0"/>
    <x v="0"/>
    <x v="0"/>
    <x v="11"/>
    <x v="5"/>
    <x v="12"/>
    <x v="1"/>
  </r>
  <r>
    <s v="TX502263"/>
    <x v="15"/>
    <x v="1"/>
    <n v="31.4"/>
    <n v="62.8"/>
    <x v="83"/>
    <d v="2025-03-26T00:00:00"/>
    <s v="M"/>
    <x v="0"/>
    <x v="2"/>
    <x v="0"/>
    <x v="11"/>
    <x v="3"/>
    <x v="12"/>
    <x v="1"/>
  </r>
  <r>
    <s v="TX502264"/>
    <x v="6"/>
    <x v="1"/>
    <n v="61.5"/>
    <n v="123"/>
    <x v="83"/>
    <d v="2025-03-26T00:00:00"/>
    <s v="M"/>
    <x v="3"/>
    <x v="0"/>
    <x v="0"/>
    <x v="31"/>
    <x v="3"/>
    <x v="12"/>
    <x v="1"/>
  </r>
  <r>
    <s v="TX502265"/>
    <x v="6"/>
    <x v="0"/>
    <n v="72.599999999999994"/>
    <n v="72.599999999999994"/>
    <x v="83"/>
    <d v="2025-03-26T00:00:00"/>
    <s v="M"/>
    <x v="0"/>
    <x v="1"/>
    <x v="0"/>
    <x v="21"/>
    <x v="3"/>
    <x v="12"/>
    <x v="1"/>
  </r>
  <r>
    <s v="TX502266"/>
    <x v="9"/>
    <x v="2"/>
    <n v="26.9"/>
    <n v="80.699999999999989"/>
    <x v="83"/>
    <d v="2025-03-30T00:00:00"/>
    <s v="O"/>
    <x v="4"/>
    <x v="1"/>
    <x v="0"/>
    <x v="46"/>
    <x v="0"/>
    <x v="12"/>
    <x v="3"/>
  </r>
  <r>
    <s v="TX502267"/>
    <x v="17"/>
    <x v="4"/>
    <n v="29.4"/>
    <n v="352.79999999999995"/>
    <x v="83"/>
    <d v="2025-03-26T00:00:00"/>
    <s v="F"/>
    <x v="1"/>
    <x v="0"/>
    <x v="0"/>
    <x v="51"/>
    <x v="3"/>
    <x v="12"/>
    <x v="2"/>
  </r>
  <r>
    <s v="TX502268"/>
    <x v="17"/>
    <x v="1"/>
    <n v="42.1"/>
    <n v="84.2"/>
    <x v="83"/>
    <d v="2025-03-26T00:00:00"/>
    <s v="F"/>
    <x v="3"/>
    <x v="1"/>
    <x v="0"/>
    <x v="1"/>
    <x v="3"/>
    <x v="12"/>
    <x v="2"/>
  </r>
  <r>
    <s v="TX502269"/>
    <x v="5"/>
    <x v="0"/>
    <n v="40.5"/>
    <n v="40.5"/>
    <x v="83"/>
    <d v="2025-03-26T00:00:00"/>
    <s v="F"/>
    <x v="2"/>
    <x v="1"/>
    <x v="0"/>
    <x v="1"/>
    <x v="3"/>
    <x v="12"/>
    <x v="2"/>
  </r>
  <r>
    <s v="TX502270"/>
    <x v="2"/>
    <x v="12"/>
    <n v="182.3"/>
    <n v="729.2"/>
    <x v="83"/>
    <d v="2025-03-26T00:00:00"/>
    <s v="F"/>
    <x v="1"/>
    <x v="0"/>
    <x v="0"/>
    <x v="1"/>
    <x v="3"/>
    <x v="12"/>
    <x v="2"/>
  </r>
  <r>
    <s v="TX502271"/>
    <x v="2"/>
    <x v="9"/>
    <n v="157"/>
    <n v="785"/>
    <x v="83"/>
    <d v="2025-03-28T00:00:00"/>
    <s v="F"/>
    <x v="1"/>
    <x v="2"/>
    <x v="0"/>
    <x v="2"/>
    <x v="2"/>
    <x v="12"/>
    <x v="2"/>
  </r>
  <r>
    <s v="TX502272"/>
    <x v="17"/>
    <x v="9"/>
    <n v="45.2"/>
    <n v="226"/>
    <x v="83"/>
    <d v="2025-03-28T00:00:00"/>
    <s v="F"/>
    <x v="1"/>
    <x v="0"/>
    <x v="0"/>
    <x v="22"/>
    <x v="2"/>
    <x v="12"/>
    <x v="2"/>
  </r>
  <r>
    <s v="TX502273"/>
    <x v="15"/>
    <x v="12"/>
    <n v="27.4"/>
    <n v="109.6"/>
    <x v="83"/>
    <d v="2025-03-27T00:00:00"/>
    <s v="F"/>
    <x v="0"/>
    <x v="0"/>
    <x v="0"/>
    <x v="3"/>
    <x v="1"/>
    <x v="12"/>
    <x v="2"/>
  </r>
  <r>
    <s v="TX502274"/>
    <x v="5"/>
    <x v="9"/>
    <n v="34.1"/>
    <n v="170.5"/>
    <x v="83"/>
    <d v="2025-03-27T00:00:00"/>
    <s v="M"/>
    <x v="0"/>
    <x v="2"/>
    <x v="0"/>
    <x v="3"/>
    <x v="1"/>
    <x v="12"/>
    <x v="1"/>
  </r>
  <r>
    <s v="TX502275"/>
    <x v="0"/>
    <x v="1"/>
    <n v="26"/>
    <n v="52"/>
    <x v="83"/>
    <d v="2025-03-27T00:00:00"/>
    <s v="M"/>
    <x v="2"/>
    <x v="1"/>
    <x v="0"/>
    <x v="3"/>
    <x v="1"/>
    <x v="12"/>
    <x v="1"/>
  </r>
  <r>
    <s v="TX502276"/>
    <x v="8"/>
    <x v="3"/>
    <n v="19.399999999999999"/>
    <n v="135.79999999999998"/>
    <x v="83"/>
    <d v="2025-03-27T00:00:00"/>
    <s v=""/>
    <x v="1"/>
    <x v="1"/>
    <x v="0"/>
    <x v="3"/>
    <x v="1"/>
    <x v="12"/>
    <x v="0"/>
  </r>
  <r>
    <s v="TX502277"/>
    <x v="16"/>
    <x v="2"/>
    <n v="30.3"/>
    <n v="90.9"/>
    <x v="83"/>
    <d v="2025-03-28T00:00:00"/>
    <s v="F"/>
    <x v="1"/>
    <x v="2"/>
    <x v="0"/>
    <x v="3"/>
    <x v="2"/>
    <x v="12"/>
    <x v="2"/>
  </r>
  <r>
    <s v="TX502278"/>
    <x v="2"/>
    <x v="2"/>
    <n v="101.4"/>
    <n v="304.20000000000005"/>
    <x v="83"/>
    <d v="2025-03-26T00:00:00"/>
    <s v="M"/>
    <x v="0"/>
    <x v="0"/>
    <x v="0"/>
    <x v="3"/>
    <x v="3"/>
    <x v="12"/>
    <x v="1"/>
  </r>
  <r>
    <s v="TX502279"/>
    <x v="3"/>
    <x v="9"/>
    <n v="55.5"/>
    <n v="277.5"/>
    <x v="83"/>
    <d v="2025-03-28T00:00:00"/>
    <s v="M"/>
    <x v="1"/>
    <x v="0"/>
    <x v="0"/>
    <x v="24"/>
    <x v="2"/>
    <x v="12"/>
    <x v="1"/>
  </r>
  <r>
    <s v="TX502280"/>
    <x v="8"/>
    <x v="0"/>
    <n v="23.1"/>
    <n v="23.1"/>
    <x v="83"/>
    <d v="2025-03-26T00:00:00"/>
    <s v="M"/>
    <x v="0"/>
    <x v="0"/>
    <x v="0"/>
    <x v="25"/>
    <x v="3"/>
    <x v="12"/>
    <x v="1"/>
  </r>
  <r>
    <s v="TX502281"/>
    <x v="18"/>
    <x v="1"/>
    <n v="38.9"/>
    <n v="77.8"/>
    <x v="83"/>
    <d v="2025-03-26T00:00:00"/>
    <s v="M"/>
    <x v="2"/>
    <x v="0"/>
    <x v="0"/>
    <x v="25"/>
    <x v="3"/>
    <x v="12"/>
    <x v="1"/>
  </r>
  <r>
    <s v="TX502282"/>
    <x v="6"/>
    <x v="11"/>
    <n v="116.3"/>
    <n v="1046.7"/>
    <x v="83"/>
    <d v="2025-03-29T00:00:00"/>
    <s v="F"/>
    <x v="0"/>
    <x v="0"/>
    <x v="0"/>
    <x v="5"/>
    <x v="5"/>
    <x v="12"/>
    <x v="2"/>
  </r>
  <r>
    <s v="TX502283"/>
    <x v="16"/>
    <x v="11"/>
    <n v="64.099999999999994"/>
    <n v="576.9"/>
    <x v="83"/>
    <d v="2025-03-25T00:00:00"/>
    <s v="F"/>
    <x v="0"/>
    <x v="2"/>
    <x v="0"/>
    <x v="6"/>
    <x v="7"/>
    <x v="12"/>
    <x v="2"/>
  </r>
  <r>
    <s v="TX502284"/>
    <x v="2"/>
    <x v="13"/>
    <n v="109.2"/>
    <n v="655.20000000000005"/>
    <x v="83"/>
    <d v="2025-03-27T00:00:00"/>
    <s v="M"/>
    <x v="0"/>
    <x v="1"/>
    <x v="0"/>
    <x v="8"/>
    <x v="1"/>
    <x v="12"/>
    <x v="1"/>
  </r>
  <r>
    <s v="TX502285"/>
    <x v="10"/>
    <x v="9"/>
    <n v="23.2"/>
    <n v="116"/>
    <x v="84"/>
    <d v="2025-03-27T00:00:00"/>
    <s v="M"/>
    <x v="0"/>
    <x v="1"/>
    <x v="0"/>
    <x v="8"/>
    <x v="3"/>
    <x v="12"/>
    <x v="1"/>
  </r>
  <r>
    <s v="TX502286"/>
    <x v="18"/>
    <x v="13"/>
    <n v="81.2"/>
    <n v="487.20000000000005"/>
    <x v="84"/>
    <d v="2025-03-28T00:00:00"/>
    <s v="M"/>
    <x v="2"/>
    <x v="2"/>
    <x v="0"/>
    <x v="8"/>
    <x v="1"/>
    <x v="12"/>
    <x v="1"/>
  </r>
  <r>
    <s v="TX502287"/>
    <x v="1"/>
    <x v="21"/>
    <n v="35.700000000000003"/>
    <n v="499.80000000000007"/>
    <x v="84"/>
    <d v="2025-03-27T00:00:00"/>
    <s v="M"/>
    <x v="3"/>
    <x v="0"/>
    <x v="0"/>
    <x v="8"/>
    <x v="3"/>
    <x v="12"/>
    <x v="1"/>
  </r>
  <r>
    <s v="TX502288"/>
    <x v="7"/>
    <x v="1"/>
    <n v="44.5"/>
    <n v="89"/>
    <x v="84"/>
    <d v="2025-03-29T00:00:00"/>
    <s v="M"/>
    <x v="4"/>
    <x v="0"/>
    <x v="0"/>
    <x v="9"/>
    <x v="2"/>
    <x v="12"/>
    <x v="1"/>
  </r>
  <r>
    <s v="TX502289"/>
    <x v="1"/>
    <x v="9"/>
    <n v="32"/>
    <n v="160"/>
    <x v="84"/>
    <d v="2025-03-28T00:00:00"/>
    <s v="O"/>
    <x v="1"/>
    <x v="1"/>
    <x v="0"/>
    <x v="9"/>
    <x v="1"/>
    <x v="12"/>
    <x v="3"/>
  </r>
  <r>
    <s v="TX502290"/>
    <x v="8"/>
    <x v="0"/>
    <n v="25.7"/>
    <n v="25.7"/>
    <x v="84"/>
    <d v="2025-03-27T00:00:00"/>
    <s v="M"/>
    <x v="0"/>
    <x v="0"/>
    <x v="0"/>
    <x v="10"/>
    <x v="3"/>
    <x v="12"/>
    <x v="1"/>
  </r>
  <r>
    <s v="TX502291"/>
    <x v="16"/>
    <x v="2"/>
    <n v="65.599999999999994"/>
    <n v="196.79999999999998"/>
    <x v="84"/>
    <d v="2025-04-01T00:00:00"/>
    <s v="M"/>
    <x v="0"/>
    <x v="0"/>
    <x v="0"/>
    <x v="11"/>
    <x v="4"/>
    <x v="12"/>
    <x v="1"/>
  </r>
  <r>
    <s v="TX502292"/>
    <x v="1"/>
    <x v="12"/>
    <n v="52.1"/>
    <n v="208.4"/>
    <x v="84"/>
    <d v="2025-03-27T00:00:00"/>
    <s v="F"/>
    <x v="0"/>
    <x v="2"/>
    <x v="0"/>
    <x v="11"/>
    <x v="3"/>
    <x v="12"/>
    <x v="2"/>
  </r>
  <r>
    <s v="TX502293"/>
    <x v="8"/>
    <x v="0"/>
    <n v="31"/>
    <n v="31"/>
    <x v="84"/>
    <d v="2025-03-27T00:00:00"/>
    <s v="M"/>
    <x v="0"/>
    <x v="1"/>
    <x v="0"/>
    <x v="19"/>
    <x v="3"/>
    <x v="12"/>
    <x v="1"/>
  </r>
  <r>
    <s v="TX502294"/>
    <x v="8"/>
    <x v="0"/>
    <n v="32"/>
    <n v="32"/>
    <x v="84"/>
    <d v="2025-03-28T00:00:00"/>
    <s v="O"/>
    <x v="3"/>
    <x v="1"/>
    <x v="0"/>
    <x v="31"/>
    <x v="1"/>
    <x v="12"/>
    <x v="3"/>
  </r>
  <r>
    <s v="TX502295"/>
    <x v="16"/>
    <x v="12"/>
    <n v="58.3"/>
    <n v="233.2"/>
    <x v="84"/>
    <d v="2025-03-30T00:00:00"/>
    <s v="M"/>
    <x v="1"/>
    <x v="4"/>
    <x v="0"/>
    <x v="20"/>
    <x v="5"/>
    <x v="12"/>
    <x v="1"/>
  </r>
  <r>
    <s v="TX502296"/>
    <x v="8"/>
    <x v="2"/>
    <n v="31"/>
    <n v="93"/>
    <x v="84"/>
    <d v="2025-03-28T00:00:00"/>
    <s v="F"/>
    <x v="2"/>
    <x v="4"/>
    <x v="0"/>
    <x v="13"/>
    <x v="1"/>
    <x v="12"/>
    <x v="2"/>
  </r>
  <r>
    <s v="TX502297"/>
    <x v="3"/>
    <x v="0"/>
    <n v="40.299999999999997"/>
    <n v="40.299999999999997"/>
    <x v="84"/>
    <d v="2025-03-27T00:00:00"/>
    <s v="M"/>
    <x v="1"/>
    <x v="2"/>
    <x v="0"/>
    <x v="54"/>
    <x v="3"/>
    <x v="12"/>
    <x v="1"/>
  </r>
  <r>
    <s v="TX502298"/>
    <x v="6"/>
    <x v="2"/>
    <n v="47.3"/>
    <n v="141.89999999999998"/>
    <x v="84"/>
    <d v="2025-03-28T00:00:00"/>
    <s v="M"/>
    <x v="4"/>
    <x v="2"/>
    <x v="0"/>
    <x v="2"/>
    <x v="1"/>
    <x v="12"/>
    <x v="1"/>
  </r>
  <r>
    <s v="TX502299"/>
    <x v="2"/>
    <x v="0"/>
    <n v="82.8"/>
    <n v="82.8"/>
    <x v="84"/>
    <d v="2025-03-27T00:00:00"/>
    <s v="M"/>
    <x v="0"/>
    <x v="0"/>
    <x v="0"/>
    <x v="2"/>
    <x v="3"/>
    <x v="12"/>
    <x v="1"/>
  </r>
  <r>
    <s v="TX502300"/>
    <x v="8"/>
    <x v="0"/>
    <n v="18.5"/>
    <n v="18.5"/>
    <x v="84"/>
    <d v="2025-04-09T00:00:00"/>
    <s v="F"/>
    <x v="0"/>
    <x v="0"/>
    <x v="0"/>
    <x v="44"/>
    <x v="12"/>
    <x v="12"/>
    <x v="2"/>
  </r>
  <r>
    <s v="TX502301"/>
    <x v="3"/>
    <x v="1"/>
    <n v="60.4"/>
    <n v="120.8"/>
    <x v="84"/>
    <d v="2025-03-27T00:00:00"/>
    <s v="M"/>
    <x v="2"/>
    <x v="0"/>
    <x v="0"/>
    <x v="22"/>
    <x v="3"/>
    <x v="12"/>
    <x v="1"/>
  </r>
  <r>
    <s v="TX502302"/>
    <x v="6"/>
    <x v="9"/>
    <n v="80.2"/>
    <n v="401"/>
    <x v="84"/>
    <d v="2025-04-02T00:00:00"/>
    <s v="M"/>
    <x v="1"/>
    <x v="1"/>
    <x v="0"/>
    <x v="50"/>
    <x v="6"/>
    <x v="12"/>
    <x v="1"/>
  </r>
  <r>
    <s v="TX502303"/>
    <x v="4"/>
    <x v="0"/>
    <n v="41.5"/>
    <n v="41.5"/>
    <x v="84"/>
    <d v="2025-03-28T00:00:00"/>
    <s v="M"/>
    <x v="2"/>
    <x v="0"/>
    <x v="0"/>
    <x v="3"/>
    <x v="1"/>
    <x v="12"/>
    <x v="1"/>
  </r>
  <r>
    <s v="TX502304"/>
    <x v="2"/>
    <x v="1"/>
    <n v="83.9"/>
    <n v="167.8"/>
    <x v="84"/>
    <d v="2025-03-29T00:00:00"/>
    <s v="F"/>
    <x v="0"/>
    <x v="0"/>
    <x v="0"/>
    <x v="3"/>
    <x v="2"/>
    <x v="12"/>
    <x v="2"/>
  </r>
  <r>
    <s v="TX502305"/>
    <x v="8"/>
    <x v="1"/>
    <n v="16.7"/>
    <n v="33.4"/>
    <x v="84"/>
    <d v="2025-03-30T00:00:00"/>
    <s v="F"/>
    <x v="0"/>
    <x v="1"/>
    <x v="0"/>
    <x v="3"/>
    <x v="5"/>
    <x v="12"/>
    <x v="2"/>
  </r>
  <r>
    <s v="TX502306"/>
    <x v="9"/>
    <x v="1"/>
    <n v="72.900000000000006"/>
    <n v="145.80000000000001"/>
    <x v="84"/>
    <d v="2025-03-27T00:00:00"/>
    <s v="M"/>
    <x v="2"/>
    <x v="1"/>
    <x v="0"/>
    <x v="3"/>
    <x v="3"/>
    <x v="12"/>
    <x v="1"/>
  </r>
  <r>
    <s v="TX502307"/>
    <x v="5"/>
    <x v="1"/>
    <n v="50.2"/>
    <n v="100.4"/>
    <x v="84"/>
    <d v="2025-03-28T00:00:00"/>
    <s v="F"/>
    <x v="1"/>
    <x v="2"/>
    <x v="0"/>
    <x v="3"/>
    <x v="1"/>
    <x v="12"/>
    <x v="2"/>
  </r>
  <r>
    <s v="TX502308"/>
    <x v="3"/>
    <x v="1"/>
    <n v="34.200000000000003"/>
    <n v="68.400000000000006"/>
    <x v="84"/>
    <d v="2025-04-05T00:00:00"/>
    <s v=""/>
    <x v="1"/>
    <x v="0"/>
    <x v="0"/>
    <x v="3"/>
    <x v="14"/>
    <x v="12"/>
    <x v="0"/>
  </r>
  <r>
    <s v="TX502309"/>
    <x v="5"/>
    <x v="1"/>
    <n v="107.9"/>
    <n v="215.8"/>
    <x v="84"/>
    <d v="2025-03-26T00:00:00"/>
    <s v="M"/>
    <x v="1"/>
    <x v="4"/>
    <x v="0"/>
    <x v="3"/>
    <x v="7"/>
    <x v="12"/>
    <x v="1"/>
  </r>
  <r>
    <s v="TX502310"/>
    <x v="0"/>
    <x v="2"/>
    <n v="17.5"/>
    <n v="52.5"/>
    <x v="84"/>
    <d v="2025-03-28T00:00:00"/>
    <s v="M"/>
    <x v="4"/>
    <x v="0"/>
    <x v="0"/>
    <x v="3"/>
    <x v="1"/>
    <x v="12"/>
    <x v="1"/>
  </r>
  <r>
    <s v="TX502311"/>
    <x v="13"/>
    <x v="20"/>
    <n v="44.7"/>
    <n v="670.5"/>
    <x v="84"/>
    <d v="2025-03-27T00:00:00"/>
    <s v="M"/>
    <x v="0"/>
    <x v="1"/>
    <x v="0"/>
    <x v="3"/>
    <x v="3"/>
    <x v="12"/>
    <x v="1"/>
  </r>
  <r>
    <s v="TX502312"/>
    <x v="12"/>
    <x v="13"/>
    <n v="92.7"/>
    <n v="556.20000000000005"/>
    <x v="84"/>
    <d v="2025-03-28T00:00:00"/>
    <s v="F"/>
    <x v="2"/>
    <x v="1"/>
    <x v="0"/>
    <x v="3"/>
    <x v="1"/>
    <x v="12"/>
    <x v="2"/>
  </r>
  <r>
    <s v="TX502313"/>
    <x v="7"/>
    <x v="2"/>
    <n v="48.8"/>
    <n v="146.39999999999998"/>
    <x v="84"/>
    <d v="2025-03-28T00:00:00"/>
    <s v="F"/>
    <x v="2"/>
    <x v="0"/>
    <x v="0"/>
    <x v="3"/>
    <x v="1"/>
    <x v="12"/>
    <x v="2"/>
  </r>
  <r>
    <s v="TX502314"/>
    <x v="4"/>
    <x v="27"/>
    <n v="21.3"/>
    <n v="340.8"/>
    <x v="84"/>
    <d v="2025-03-30T00:00:00"/>
    <s v="F"/>
    <x v="3"/>
    <x v="3"/>
    <x v="0"/>
    <x v="3"/>
    <x v="5"/>
    <x v="12"/>
    <x v="2"/>
  </r>
  <r>
    <s v="TX502315"/>
    <x v="16"/>
    <x v="0"/>
    <n v="52.5"/>
    <n v="52.5"/>
    <x v="84"/>
    <d v="2025-03-27T00:00:00"/>
    <s v="F"/>
    <x v="0"/>
    <x v="0"/>
    <x v="0"/>
    <x v="3"/>
    <x v="3"/>
    <x v="12"/>
    <x v="2"/>
  </r>
  <r>
    <s v="TX502316"/>
    <x v="1"/>
    <x v="1"/>
    <n v="92.4"/>
    <n v="184.8"/>
    <x v="84"/>
    <d v="2025-04-01T00:00:00"/>
    <s v="F"/>
    <x v="0"/>
    <x v="2"/>
    <x v="0"/>
    <x v="3"/>
    <x v="4"/>
    <x v="12"/>
    <x v="2"/>
  </r>
  <r>
    <s v="TX502317"/>
    <x v="4"/>
    <x v="5"/>
    <n v="58.3"/>
    <n v="641.29999999999995"/>
    <x v="84"/>
    <d v="2025-03-28T00:00:00"/>
    <s v="M"/>
    <x v="1"/>
    <x v="2"/>
    <x v="0"/>
    <x v="3"/>
    <x v="1"/>
    <x v="12"/>
    <x v="1"/>
  </r>
  <r>
    <s v="TX502318"/>
    <x v="6"/>
    <x v="44"/>
    <n v="152.6"/>
    <n v="3509.7999999999997"/>
    <x v="85"/>
    <d v="2025-03-29T00:00:00"/>
    <s v=""/>
    <x v="0"/>
    <x v="0"/>
    <x v="0"/>
    <x v="3"/>
    <x v="1"/>
    <x v="12"/>
    <x v="0"/>
  </r>
  <r>
    <s v="TX502319"/>
    <x v="8"/>
    <x v="1"/>
    <n v="26"/>
    <n v="52"/>
    <x v="85"/>
    <d v="2025-03-27T00:00:00"/>
    <s v=""/>
    <x v="0"/>
    <x v="1"/>
    <x v="0"/>
    <x v="3"/>
    <x v="7"/>
    <x v="12"/>
    <x v="0"/>
  </r>
  <r>
    <s v="TX502320"/>
    <x v="1"/>
    <x v="12"/>
    <n v="33.1"/>
    <n v="132.4"/>
    <x v="85"/>
    <d v="2025-03-27T00:00:00"/>
    <s v="M"/>
    <x v="2"/>
    <x v="4"/>
    <x v="0"/>
    <x v="5"/>
    <x v="7"/>
    <x v="12"/>
    <x v="1"/>
  </r>
  <r>
    <s v="TX502321"/>
    <x v="18"/>
    <x v="0"/>
    <n v="51.4"/>
    <n v="51.4"/>
    <x v="85"/>
    <d v="2025-03-29T00:00:00"/>
    <s v="F"/>
    <x v="1"/>
    <x v="1"/>
    <x v="0"/>
    <x v="5"/>
    <x v="1"/>
    <x v="12"/>
    <x v="2"/>
  </r>
  <r>
    <s v="TX502322"/>
    <x v="8"/>
    <x v="1"/>
    <n v="30.2"/>
    <n v="60.4"/>
    <x v="85"/>
    <d v="2025-03-28T00:00:00"/>
    <s v="F"/>
    <x v="2"/>
    <x v="2"/>
    <x v="0"/>
    <x v="6"/>
    <x v="3"/>
    <x v="12"/>
    <x v="2"/>
  </r>
  <r>
    <s v="TX502323"/>
    <x v="2"/>
    <x v="13"/>
    <n v="97"/>
    <n v="582"/>
    <x v="85"/>
    <d v="2025-03-31T00:00:00"/>
    <s v="F"/>
    <x v="0"/>
    <x v="2"/>
    <x v="0"/>
    <x v="7"/>
    <x v="5"/>
    <x v="12"/>
    <x v="2"/>
  </r>
  <r>
    <s v="TX502324"/>
    <x v="2"/>
    <x v="0"/>
    <n v="76.900000000000006"/>
    <n v="76.900000000000006"/>
    <x v="85"/>
    <d v="2025-03-28T00:00:00"/>
    <s v="M"/>
    <x v="1"/>
    <x v="2"/>
    <x v="0"/>
    <x v="8"/>
    <x v="3"/>
    <x v="12"/>
    <x v="1"/>
  </r>
  <r>
    <s v="TX502325"/>
    <x v="7"/>
    <x v="13"/>
    <n v="36.1"/>
    <n v="216.60000000000002"/>
    <x v="85"/>
    <d v="2025-03-31T00:00:00"/>
    <s v="F"/>
    <x v="0"/>
    <x v="0"/>
    <x v="0"/>
    <x v="8"/>
    <x v="5"/>
    <x v="12"/>
    <x v="2"/>
  </r>
  <r>
    <s v="TX502326"/>
    <x v="1"/>
    <x v="3"/>
    <n v="34.4"/>
    <n v="240.79999999999998"/>
    <x v="85"/>
    <d v="2025-03-27T00:00:00"/>
    <s v="F"/>
    <x v="2"/>
    <x v="1"/>
    <x v="0"/>
    <x v="11"/>
    <x v="7"/>
    <x v="12"/>
    <x v="2"/>
  </r>
  <r>
    <s v="TX502327"/>
    <x v="1"/>
    <x v="31"/>
    <n v="53.4"/>
    <n v="1495.2"/>
    <x v="85"/>
    <d v="2025-03-29T00:00:00"/>
    <s v="F"/>
    <x v="1"/>
    <x v="0"/>
    <x v="0"/>
    <x v="18"/>
    <x v="1"/>
    <x v="12"/>
    <x v="2"/>
  </r>
  <r>
    <s v="TX502328"/>
    <x v="2"/>
    <x v="0"/>
    <n v="77.599999999999994"/>
    <n v="77.599999999999994"/>
    <x v="85"/>
    <d v="2025-03-28T00:00:00"/>
    <s v="F"/>
    <x v="0"/>
    <x v="1"/>
    <x v="0"/>
    <x v="19"/>
    <x v="3"/>
    <x v="12"/>
    <x v="2"/>
  </r>
  <r>
    <s v="TX502329"/>
    <x v="1"/>
    <x v="2"/>
    <n v="71.7"/>
    <n v="215.10000000000002"/>
    <x v="85"/>
    <d v="2025-03-30T00:00:00"/>
    <s v="F"/>
    <x v="1"/>
    <x v="0"/>
    <x v="0"/>
    <x v="19"/>
    <x v="2"/>
    <x v="12"/>
    <x v="2"/>
  </r>
  <r>
    <s v="TX502330"/>
    <x v="3"/>
    <x v="2"/>
    <n v="80.599999999999994"/>
    <n v="241.79999999999998"/>
    <x v="85"/>
    <d v="2025-03-28T00:00:00"/>
    <s v="M"/>
    <x v="4"/>
    <x v="1"/>
    <x v="0"/>
    <x v="19"/>
    <x v="3"/>
    <x v="12"/>
    <x v="1"/>
  </r>
  <r>
    <s v="TX502331"/>
    <x v="1"/>
    <x v="20"/>
    <n v="70"/>
    <n v="1050"/>
    <x v="85"/>
    <d v="2025-03-29T00:00:00"/>
    <s v="M"/>
    <x v="0"/>
    <x v="0"/>
    <x v="0"/>
    <x v="20"/>
    <x v="1"/>
    <x v="12"/>
    <x v="1"/>
  </r>
  <r>
    <s v="TX502332"/>
    <x v="4"/>
    <x v="13"/>
    <n v="27.3"/>
    <n v="163.80000000000001"/>
    <x v="85"/>
    <d v="2025-03-29T00:00:00"/>
    <s v="F"/>
    <x v="1"/>
    <x v="1"/>
    <x v="0"/>
    <x v="2"/>
    <x v="1"/>
    <x v="12"/>
    <x v="2"/>
  </r>
  <r>
    <s v="TX502333"/>
    <x v="8"/>
    <x v="21"/>
    <n v="37.6"/>
    <n v="526.4"/>
    <x v="85"/>
    <d v="2025-03-29T00:00:00"/>
    <s v="M"/>
    <x v="1"/>
    <x v="0"/>
    <x v="0"/>
    <x v="3"/>
    <x v="1"/>
    <x v="12"/>
    <x v="1"/>
  </r>
  <r>
    <s v="TX502334"/>
    <x v="5"/>
    <x v="2"/>
    <n v="36.6"/>
    <n v="109.80000000000001"/>
    <x v="85"/>
    <d v="2025-03-29T00:00:00"/>
    <s v="F"/>
    <x v="4"/>
    <x v="0"/>
    <x v="0"/>
    <x v="3"/>
    <x v="1"/>
    <x v="12"/>
    <x v="2"/>
  </r>
  <r>
    <s v="TX502335"/>
    <x v="13"/>
    <x v="0"/>
    <n v="55.2"/>
    <n v="55.2"/>
    <x v="85"/>
    <d v="2025-03-29T00:00:00"/>
    <s v="M"/>
    <x v="3"/>
    <x v="0"/>
    <x v="0"/>
    <x v="3"/>
    <x v="1"/>
    <x v="12"/>
    <x v="1"/>
  </r>
  <r>
    <s v="TX502336"/>
    <x v="6"/>
    <x v="9"/>
    <n v="59.9"/>
    <n v="299.5"/>
    <x v="85"/>
    <d v="2025-03-29T00:00:00"/>
    <s v="M"/>
    <x v="0"/>
    <x v="0"/>
    <x v="0"/>
    <x v="3"/>
    <x v="1"/>
    <x v="12"/>
    <x v="1"/>
  </r>
  <r>
    <s v="TX502337"/>
    <x v="6"/>
    <x v="0"/>
    <n v="44"/>
    <n v="44"/>
    <x v="85"/>
    <d v="2025-03-28T00:00:00"/>
    <s v="F"/>
    <x v="2"/>
    <x v="2"/>
    <x v="0"/>
    <x v="3"/>
    <x v="3"/>
    <x v="12"/>
    <x v="2"/>
  </r>
  <r>
    <s v="TX502338"/>
    <x v="9"/>
    <x v="1"/>
    <n v="68.7"/>
    <n v="137.4"/>
    <x v="85"/>
    <d v="2025-03-27T00:00:00"/>
    <s v="M"/>
    <x v="0"/>
    <x v="0"/>
    <x v="0"/>
    <x v="3"/>
    <x v="7"/>
    <x v="12"/>
    <x v="1"/>
  </r>
  <r>
    <s v="TX502339"/>
    <x v="5"/>
    <x v="1"/>
    <n v="61.6"/>
    <n v="123.2"/>
    <x v="85"/>
    <d v="2025-03-31T00:00:00"/>
    <s v="M"/>
    <x v="3"/>
    <x v="1"/>
    <x v="0"/>
    <x v="3"/>
    <x v="5"/>
    <x v="12"/>
    <x v="1"/>
  </r>
  <r>
    <s v="TX502340"/>
    <x v="7"/>
    <x v="3"/>
    <n v="51.8"/>
    <n v="362.59999999999997"/>
    <x v="85"/>
    <d v="2025-03-28T00:00:00"/>
    <s v="M"/>
    <x v="0"/>
    <x v="0"/>
    <x v="0"/>
    <x v="3"/>
    <x v="3"/>
    <x v="12"/>
    <x v="1"/>
  </r>
  <r>
    <s v="TX502341"/>
    <x v="8"/>
    <x v="7"/>
    <n v="46.2"/>
    <n v="462"/>
    <x v="85"/>
    <d v="2025-03-29T00:00:00"/>
    <s v="M"/>
    <x v="1"/>
    <x v="2"/>
    <x v="0"/>
    <x v="3"/>
    <x v="1"/>
    <x v="12"/>
    <x v="1"/>
  </r>
  <r>
    <s v="TX502342"/>
    <x v="0"/>
    <x v="1"/>
    <n v="19.399999999999999"/>
    <n v="38.799999999999997"/>
    <x v="85"/>
    <d v="2025-03-29T00:00:00"/>
    <s v="F"/>
    <x v="1"/>
    <x v="2"/>
    <x v="0"/>
    <x v="6"/>
    <x v="1"/>
    <x v="12"/>
    <x v="2"/>
  </r>
  <r>
    <s v="TX502343"/>
    <x v="11"/>
    <x v="2"/>
    <n v="52.1"/>
    <n v="156.30000000000001"/>
    <x v="85"/>
    <d v="2025-03-30T00:00:00"/>
    <s v="M"/>
    <x v="3"/>
    <x v="3"/>
    <x v="0"/>
    <x v="6"/>
    <x v="2"/>
    <x v="12"/>
    <x v="1"/>
  </r>
  <r>
    <s v="TX502344"/>
    <x v="6"/>
    <x v="0"/>
    <n v="74.900000000000006"/>
    <n v="74.900000000000006"/>
    <x v="85"/>
    <d v="2025-03-29T00:00:00"/>
    <s v="O"/>
    <x v="0"/>
    <x v="0"/>
    <x v="0"/>
    <x v="7"/>
    <x v="1"/>
    <x v="12"/>
    <x v="3"/>
  </r>
  <r>
    <s v="TX502345"/>
    <x v="9"/>
    <x v="3"/>
    <n v="49.6"/>
    <n v="347.2"/>
    <x v="85"/>
    <d v="2025-03-30T00:00:00"/>
    <s v="F"/>
    <x v="4"/>
    <x v="0"/>
    <x v="0"/>
    <x v="8"/>
    <x v="2"/>
    <x v="12"/>
    <x v="2"/>
  </r>
  <r>
    <s v="TX502346"/>
    <x v="16"/>
    <x v="12"/>
    <n v="82.8"/>
    <n v="331.2"/>
    <x v="86"/>
    <d v="2025-03-31T00:00:00"/>
    <s v="F"/>
    <x v="4"/>
    <x v="0"/>
    <x v="0"/>
    <x v="8"/>
    <x v="2"/>
    <x v="12"/>
    <x v="2"/>
  </r>
  <r>
    <s v="TX502347"/>
    <x v="2"/>
    <x v="0"/>
    <n v="97.7"/>
    <n v="97.7"/>
    <x v="86"/>
    <d v="2025-03-29T00:00:00"/>
    <s v="F"/>
    <x v="1"/>
    <x v="0"/>
    <x v="0"/>
    <x v="8"/>
    <x v="3"/>
    <x v="12"/>
    <x v="2"/>
  </r>
  <r>
    <s v="TX502348"/>
    <x v="6"/>
    <x v="9"/>
    <n v="83.6"/>
    <n v="418"/>
    <x v="86"/>
    <d v="2025-03-29T00:00:00"/>
    <s v="F"/>
    <x v="4"/>
    <x v="0"/>
    <x v="0"/>
    <x v="8"/>
    <x v="3"/>
    <x v="12"/>
    <x v="2"/>
  </r>
  <r>
    <s v="TX502349"/>
    <x v="8"/>
    <x v="9"/>
    <n v="23.5"/>
    <n v="117.5"/>
    <x v="86"/>
    <d v="2025-04-01T00:00:00"/>
    <s v="O"/>
    <x v="0"/>
    <x v="0"/>
    <x v="0"/>
    <x v="8"/>
    <x v="5"/>
    <x v="12"/>
    <x v="3"/>
  </r>
  <r>
    <s v="TX502350"/>
    <x v="9"/>
    <x v="2"/>
    <n v="44.6"/>
    <n v="133.80000000000001"/>
    <x v="86"/>
    <d v="2025-03-31T00:00:00"/>
    <s v="F"/>
    <x v="4"/>
    <x v="1"/>
    <x v="0"/>
    <x v="26"/>
    <x v="2"/>
    <x v="12"/>
    <x v="2"/>
  </r>
  <r>
    <s v="TX502351"/>
    <x v="0"/>
    <x v="2"/>
    <n v="20.100000000000001"/>
    <n v="60.300000000000004"/>
    <x v="86"/>
    <d v="2025-03-30T00:00:00"/>
    <s v="F"/>
    <x v="3"/>
    <x v="4"/>
    <x v="0"/>
    <x v="11"/>
    <x v="1"/>
    <x v="12"/>
    <x v="2"/>
  </r>
  <r>
    <s v="TX502352"/>
    <x v="2"/>
    <x v="9"/>
    <n v="153.6"/>
    <n v="768"/>
    <x v="86"/>
    <d v="2025-03-29T00:00:00"/>
    <s v="F"/>
    <x v="1"/>
    <x v="2"/>
    <x v="0"/>
    <x v="53"/>
    <x v="3"/>
    <x v="12"/>
    <x v="2"/>
  </r>
  <r>
    <s v="TX502353"/>
    <x v="1"/>
    <x v="1"/>
    <n v="71.8"/>
    <n v="143.6"/>
    <x v="86"/>
    <d v="2025-04-01T00:00:00"/>
    <s v="F"/>
    <x v="1"/>
    <x v="0"/>
    <x v="0"/>
    <x v="1"/>
    <x v="5"/>
    <x v="12"/>
    <x v="2"/>
  </r>
  <r>
    <s v="TX502354"/>
    <x v="10"/>
    <x v="0"/>
    <n v="64.7"/>
    <n v="64.7"/>
    <x v="86"/>
    <d v="2025-03-30T00:00:00"/>
    <s v=""/>
    <x v="0"/>
    <x v="1"/>
    <x v="0"/>
    <x v="1"/>
    <x v="1"/>
    <x v="12"/>
    <x v="0"/>
  </r>
  <r>
    <s v="TX502355"/>
    <x v="9"/>
    <x v="8"/>
    <n v="60.4"/>
    <n v="483.2"/>
    <x v="86"/>
    <d v="2025-03-30T00:00:00"/>
    <s v="F"/>
    <x v="3"/>
    <x v="2"/>
    <x v="0"/>
    <x v="2"/>
    <x v="1"/>
    <x v="12"/>
    <x v="2"/>
  </r>
  <r>
    <s v="TX502356"/>
    <x v="6"/>
    <x v="12"/>
    <n v="86"/>
    <n v="344"/>
    <x v="86"/>
    <d v="2025-03-31T00:00:00"/>
    <s v="F"/>
    <x v="2"/>
    <x v="2"/>
    <x v="0"/>
    <x v="22"/>
    <x v="2"/>
    <x v="12"/>
    <x v="2"/>
  </r>
  <r>
    <s v="TX502357"/>
    <x v="12"/>
    <x v="1"/>
    <n v="42.1"/>
    <n v="84.2"/>
    <x v="86"/>
    <d v="2025-03-29T00:00:00"/>
    <s v="F"/>
    <x v="4"/>
    <x v="1"/>
    <x v="0"/>
    <x v="34"/>
    <x v="3"/>
    <x v="12"/>
    <x v="2"/>
  </r>
  <r>
    <s v="TX502358"/>
    <x v="16"/>
    <x v="11"/>
    <n v="51.1"/>
    <n v="459.90000000000003"/>
    <x v="86"/>
    <d v="2025-03-29T00:00:00"/>
    <s v="M"/>
    <x v="2"/>
    <x v="1"/>
    <x v="0"/>
    <x v="3"/>
    <x v="3"/>
    <x v="12"/>
    <x v="1"/>
  </r>
  <r>
    <s v="TX502359"/>
    <x v="9"/>
    <x v="12"/>
    <n v="73.8"/>
    <n v="295.2"/>
    <x v="86"/>
    <d v="2025-03-29T00:00:00"/>
    <s v="M"/>
    <x v="4"/>
    <x v="0"/>
    <x v="0"/>
    <x v="3"/>
    <x v="3"/>
    <x v="12"/>
    <x v="1"/>
  </r>
  <r>
    <s v="TX502360"/>
    <x v="8"/>
    <x v="9"/>
    <n v="27"/>
    <n v="135"/>
    <x v="86"/>
    <d v="2025-03-31T00:00:00"/>
    <s v="F"/>
    <x v="2"/>
    <x v="2"/>
    <x v="0"/>
    <x v="3"/>
    <x v="2"/>
    <x v="12"/>
    <x v="2"/>
  </r>
  <r>
    <s v="TX502361"/>
    <x v="8"/>
    <x v="13"/>
    <n v="60.1"/>
    <n v="360.6"/>
    <x v="86"/>
    <d v="2025-03-29T00:00:00"/>
    <s v="M"/>
    <x v="3"/>
    <x v="0"/>
    <x v="0"/>
    <x v="3"/>
    <x v="3"/>
    <x v="12"/>
    <x v="1"/>
  </r>
  <r>
    <s v="TX502362"/>
    <x v="2"/>
    <x v="3"/>
    <n v="94.1"/>
    <n v="658.69999999999993"/>
    <x v="86"/>
    <d v="2025-03-30T00:00:00"/>
    <s v="F"/>
    <x v="4"/>
    <x v="1"/>
    <x v="0"/>
    <x v="3"/>
    <x v="1"/>
    <x v="12"/>
    <x v="2"/>
  </r>
  <r>
    <s v="TX502363"/>
    <x v="2"/>
    <x v="1"/>
    <n v="124.1"/>
    <n v="248.2"/>
    <x v="86"/>
    <d v="2025-03-28T00:00:00"/>
    <s v="F"/>
    <x v="2"/>
    <x v="3"/>
    <x v="0"/>
    <x v="43"/>
    <x v="7"/>
    <x v="12"/>
    <x v="2"/>
  </r>
  <r>
    <s v="TX502364"/>
    <x v="8"/>
    <x v="12"/>
    <n v="16.899999999999999"/>
    <n v="67.599999999999994"/>
    <x v="86"/>
    <d v="2025-03-31T00:00:00"/>
    <s v="M"/>
    <x v="3"/>
    <x v="0"/>
    <x v="0"/>
    <x v="6"/>
    <x v="2"/>
    <x v="12"/>
    <x v="1"/>
  </r>
  <r>
    <s v="TX502365"/>
    <x v="1"/>
    <x v="0"/>
    <n v="36.9"/>
    <n v="36.9"/>
    <x v="86"/>
    <d v="2025-03-29T00:00:00"/>
    <s v="M"/>
    <x v="0"/>
    <x v="0"/>
    <x v="0"/>
    <x v="6"/>
    <x v="3"/>
    <x v="12"/>
    <x v="1"/>
  </r>
  <r>
    <s v="TX502366"/>
    <x v="9"/>
    <x v="1"/>
    <n v="22.6"/>
    <n v="45.2"/>
    <x v="86"/>
    <d v="2025-04-10T00:00:00"/>
    <s v="F"/>
    <x v="2"/>
    <x v="1"/>
    <x v="0"/>
    <x v="8"/>
    <x v="10"/>
    <x v="12"/>
    <x v="2"/>
  </r>
  <r>
    <s v="TX502367"/>
    <x v="7"/>
    <x v="12"/>
    <n v="35"/>
    <n v="140"/>
    <x v="86"/>
    <d v="2025-04-02T00:00:00"/>
    <s v="M"/>
    <x v="3"/>
    <x v="1"/>
    <x v="0"/>
    <x v="8"/>
    <x v="0"/>
    <x v="12"/>
    <x v="1"/>
  </r>
  <r>
    <s v="TX502368"/>
    <x v="9"/>
    <x v="13"/>
    <n v="63.6"/>
    <n v="381.6"/>
    <x v="86"/>
    <d v="2025-04-04T00:00:00"/>
    <s v=""/>
    <x v="1"/>
    <x v="2"/>
    <x v="0"/>
    <x v="8"/>
    <x v="6"/>
    <x v="12"/>
    <x v="0"/>
  </r>
  <r>
    <s v="TX502369"/>
    <x v="15"/>
    <x v="12"/>
    <n v="78.599999999999994"/>
    <n v="314.39999999999998"/>
    <x v="86"/>
    <d v="2025-03-29T00:00:00"/>
    <s v="M"/>
    <x v="4"/>
    <x v="1"/>
    <x v="0"/>
    <x v="8"/>
    <x v="3"/>
    <x v="12"/>
    <x v="1"/>
  </r>
  <r>
    <s v="TX502370"/>
    <x v="3"/>
    <x v="1"/>
    <n v="38.5"/>
    <n v="77"/>
    <x v="86"/>
    <d v="2025-03-29T00:00:00"/>
    <s v="M"/>
    <x v="0"/>
    <x v="2"/>
    <x v="0"/>
    <x v="8"/>
    <x v="3"/>
    <x v="12"/>
    <x v="1"/>
  </r>
  <r>
    <s v="TX502371"/>
    <x v="8"/>
    <x v="5"/>
    <n v="71.5"/>
    <n v="786.5"/>
    <x v="86"/>
    <d v="2025-03-29T00:00:00"/>
    <s v="F"/>
    <x v="1"/>
    <x v="4"/>
    <x v="0"/>
    <x v="8"/>
    <x v="3"/>
    <x v="12"/>
    <x v="2"/>
  </r>
  <r>
    <s v="TX502372"/>
    <x v="6"/>
    <x v="12"/>
    <n v="121.4"/>
    <n v="485.6"/>
    <x v="86"/>
    <d v="2025-04-01T00:00:00"/>
    <s v="M"/>
    <x v="1"/>
    <x v="2"/>
    <x v="0"/>
    <x v="17"/>
    <x v="5"/>
    <x v="12"/>
    <x v="1"/>
  </r>
  <r>
    <s v="TX502373"/>
    <x v="11"/>
    <x v="0"/>
    <n v="40.200000000000003"/>
    <n v="40.200000000000003"/>
    <x v="86"/>
    <d v="2025-03-31T00:00:00"/>
    <s v="F"/>
    <x v="0"/>
    <x v="2"/>
    <x v="0"/>
    <x v="11"/>
    <x v="2"/>
    <x v="12"/>
    <x v="2"/>
  </r>
  <r>
    <s v="TX502374"/>
    <x v="5"/>
    <x v="9"/>
    <n v="31.9"/>
    <n v="159.5"/>
    <x v="86"/>
    <d v="2025-03-30T00:00:00"/>
    <s v="F"/>
    <x v="2"/>
    <x v="2"/>
    <x v="0"/>
    <x v="28"/>
    <x v="1"/>
    <x v="12"/>
    <x v="2"/>
  </r>
  <r>
    <s v="TX502375"/>
    <x v="14"/>
    <x v="9"/>
    <n v="15.8"/>
    <n v="79"/>
    <x v="87"/>
    <d v="2025-03-30T00:00:00"/>
    <s v="M"/>
    <x v="3"/>
    <x v="2"/>
    <x v="0"/>
    <x v="21"/>
    <x v="3"/>
    <x v="12"/>
    <x v="1"/>
  </r>
  <r>
    <s v="TX502376"/>
    <x v="10"/>
    <x v="1"/>
    <n v="25.1"/>
    <n v="50.2"/>
    <x v="87"/>
    <d v="2025-03-31T00:00:00"/>
    <s v=""/>
    <x v="1"/>
    <x v="0"/>
    <x v="0"/>
    <x v="21"/>
    <x v="1"/>
    <x v="12"/>
    <x v="0"/>
  </r>
  <r>
    <s v="TX502377"/>
    <x v="1"/>
    <x v="44"/>
    <n v="38.1"/>
    <n v="876.30000000000007"/>
    <x v="87"/>
    <d v="2025-03-30T00:00:00"/>
    <s v="F"/>
    <x v="4"/>
    <x v="0"/>
    <x v="0"/>
    <x v="1"/>
    <x v="3"/>
    <x v="12"/>
    <x v="2"/>
  </r>
  <r>
    <s v="TX502378"/>
    <x v="3"/>
    <x v="1"/>
    <n v="42.2"/>
    <n v="84.4"/>
    <x v="87"/>
    <d v="2025-03-31T00:00:00"/>
    <s v="F"/>
    <x v="0"/>
    <x v="2"/>
    <x v="0"/>
    <x v="1"/>
    <x v="1"/>
    <x v="12"/>
    <x v="2"/>
  </r>
  <r>
    <s v="TX502379"/>
    <x v="0"/>
    <x v="7"/>
    <n v="12.3"/>
    <n v="123"/>
    <x v="87"/>
    <d v="2025-03-30T00:00:00"/>
    <s v="F"/>
    <x v="4"/>
    <x v="0"/>
    <x v="0"/>
    <x v="2"/>
    <x v="3"/>
    <x v="12"/>
    <x v="2"/>
  </r>
  <r>
    <s v="TX502380"/>
    <x v="7"/>
    <x v="0"/>
    <n v="30.2"/>
    <n v="30.2"/>
    <x v="87"/>
    <d v="2025-03-31T00:00:00"/>
    <s v="F"/>
    <x v="1"/>
    <x v="2"/>
    <x v="0"/>
    <x v="34"/>
    <x v="1"/>
    <x v="12"/>
    <x v="2"/>
  </r>
  <r>
    <s v="TX502381"/>
    <x v="5"/>
    <x v="2"/>
    <n v="25.3"/>
    <n v="75.900000000000006"/>
    <x v="87"/>
    <d v="2025-04-01T00:00:00"/>
    <s v="F"/>
    <x v="2"/>
    <x v="0"/>
    <x v="0"/>
    <x v="3"/>
    <x v="2"/>
    <x v="12"/>
    <x v="2"/>
  </r>
  <r>
    <s v="TX502382"/>
    <x v="8"/>
    <x v="9"/>
    <n v="29.7"/>
    <n v="148.5"/>
    <x v="87"/>
    <d v="2025-03-31T00:00:00"/>
    <s v="M"/>
    <x v="3"/>
    <x v="0"/>
    <x v="0"/>
    <x v="3"/>
    <x v="1"/>
    <x v="12"/>
    <x v="1"/>
  </r>
  <r>
    <s v="TX502383"/>
    <x v="9"/>
    <x v="8"/>
    <n v="32.9"/>
    <n v="263.2"/>
    <x v="87"/>
    <d v="2025-03-30T00:00:00"/>
    <s v=""/>
    <x v="3"/>
    <x v="2"/>
    <x v="0"/>
    <x v="3"/>
    <x v="3"/>
    <x v="12"/>
    <x v="0"/>
  </r>
  <r>
    <s v="TX502384"/>
    <x v="10"/>
    <x v="1"/>
    <n v="43.6"/>
    <n v="87.2"/>
    <x v="87"/>
    <d v="2025-03-30T00:00:00"/>
    <s v="M"/>
    <x v="1"/>
    <x v="2"/>
    <x v="0"/>
    <x v="3"/>
    <x v="3"/>
    <x v="12"/>
    <x v="1"/>
  </r>
  <r>
    <s v="TX502385"/>
    <x v="15"/>
    <x v="12"/>
    <n v="78.400000000000006"/>
    <n v="313.60000000000002"/>
    <x v="87"/>
    <d v="2025-03-30T00:00:00"/>
    <s v="M"/>
    <x v="2"/>
    <x v="0"/>
    <x v="0"/>
    <x v="3"/>
    <x v="3"/>
    <x v="12"/>
    <x v="1"/>
  </r>
  <r>
    <s v="TX502386"/>
    <x v="6"/>
    <x v="1"/>
    <n v="56.5"/>
    <n v="113"/>
    <x v="87"/>
    <d v="2025-04-02T00:00:00"/>
    <s v="M"/>
    <x v="1"/>
    <x v="1"/>
    <x v="0"/>
    <x v="3"/>
    <x v="5"/>
    <x v="12"/>
    <x v="1"/>
  </r>
  <r>
    <s v="TX502387"/>
    <x v="16"/>
    <x v="0"/>
    <n v="36.700000000000003"/>
    <n v="36.700000000000003"/>
    <x v="87"/>
    <d v="2025-03-30T00:00:00"/>
    <s v="F"/>
    <x v="0"/>
    <x v="2"/>
    <x v="0"/>
    <x v="3"/>
    <x v="3"/>
    <x v="12"/>
    <x v="2"/>
  </r>
  <r>
    <s v="TX502388"/>
    <x v="2"/>
    <x v="12"/>
    <n v="103.6"/>
    <n v="414.4"/>
    <x v="87"/>
    <d v="2025-04-09T00:00:00"/>
    <s v="M"/>
    <x v="4"/>
    <x v="2"/>
    <x v="0"/>
    <x v="3"/>
    <x v="11"/>
    <x v="12"/>
    <x v="1"/>
  </r>
  <r>
    <s v="TX502389"/>
    <x v="8"/>
    <x v="13"/>
    <n v="16.2"/>
    <n v="97.199999999999989"/>
    <x v="87"/>
    <d v="2025-04-02T00:00:00"/>
    <s v="M"/>
    <x v="1"/>
    <x v="2"/>
    <x v="0"/>
    <x v="6"/>
    <x v="5"/>
    <x v="12"/>
    <x v="1"/>
  </r>
  <r>
    <s v="TX502390"/>
    <x v="8"/>
    <x v="1"/>
    <n v="20.2"/>
    <n v="40.4"/>
    <x v="87"/>
    <d v="2025-03-30T00:00:00"/>
    <s v="F"/>
    <x v="0"/>
    <x v="0"/>
    <x v="0"/>
    <x v="6"/>
    <x v="3"/>
    <x v="12"/>
    <x v="2"/>
  </r>
  <r>
    <s v="TX502391"/>
    <x v="11"/>
    <x v="1"/>
    <n v="26.9"/>
    <n v="53.8"/>
    <x v="87"/>
    <d v="2025-03-31T00:00:00"/>
    <s v="F"/>
    <x v="2"/>
    <x v="0"/>
    <x v="0"/>
    <x v="6"/>
    <x v="1"/>
    <x v="12"/>
    <x v="2"/>
  </r>
  <r>
    <s v="TX502392"/>
    <x v="1"/>
    <x v="1"/>
    <n v="82.4"/>
    <n v="164.8"/>
    <x v="87"/>
    <d v="2025-04-01T00:00:00"/>
    <s v=""/>
    <x v="0"/>
    <x v="0"/>
    <x v="0"/>
    <x v="7"/>
    <x v="2"/>
    <x v="12"/>
    <x v="0"/>
  </r>
  <r>
    <s v="TX502393"/>
    <x v="2"/>
    <x v="1"/>
    <n v="117.8"/>
    <n v="235.6"/>
    <x v="87"/>
    <d v="2025-03-31T00:00:00"/>
    <s v="M"/>
    <x v="1"/>
    <x v="2"/>
    <x v="0"/>
    <x v="8"/>
    <x v="1"/>
    <x v="12"/>
    <x v="1"/>
  </r>
  <r>
    <s v="TX502394"/>
    <x v="11"/>
    <x v="12"/>
    <n v="36.700000000000003"/>
    <n v="146.80000000000001"/>
    <x v="87"/>
    <d v="2025-03-30T00:00:00"/>
    <s v="M"/>
    <x v="1"/>
    <x v="0"/>
    <x v="0"/>
    <x v="8"/>
    <x v="3"/>
    <x v="12"/>
    <x v="1"/>
  </r>
  <r>
    <s v="TX502395"/>
    <x v="17"/>
    <x v="2"/>
    <n v="46.8"/>
    <n v="140.39999999999998"/>
    <x v="87"/>
    <d v="2025-03-30T00:00:00"/>
    <s v="M"/>
    <x v="4"/>
    <x v="2"/>
    <x v="0"/>
    <x v="10"/>
    <x v="3"/>
    <x v="12"/>
    <x v="1"/>
  </r>
  <r>
    <s v="TX502396"/>
    <x v="3"/>
    <x v="0"/>
    <n v="61.4"/>
    <n v="61.4"/>
    <x v="87"/>
    <d v="2025-03-30T00:00:00"/>
    <s v="M"/>
    <x v="1"/>
    <x v="0"/>
    <x v="0"/>
    <x v="10"/>
    <x v="3"/>
    <x v="12"/>
    <x v="1"/>
  </r>
  <r>
    <s v="TX502397"/>
    <x v="15"/>
    <x v="1"/>
    <n v="22.9"/>
    <n v="45.8"/>
    <x v="87"/>
    <d v="2025-03-30T00:00:00"/>
    <s v="M"/>
    <x v="0"/>
    <x v="0"/>
    <x v="0"/>
    <x v="11"/>
    <x v="3"/>
    <x v="12"/>
    <x v="1"/>
  </r>
  <r>
    <s v="TX502398"/>
    <x v="10"/>
    <x v="1"/>
    <n v="22.1"/>
    <n v="44.2"/>
    <x v="87"/>
    <d v="2025-03-30T00:00:00"/>
    <s v="F"/>
    <x v="4"/>
    <x v="0"/>
    <x v="0"/>
    <x v="11"/>
    <x v="3"/>
    <x v="12"/>
    <x v="2"/>
  </r>
  <r>
    <s v="TX502399"/>
    <x v="12"/>
    <x v="1"/>
    <n v="31"/>
    <n v="62"/>
    <x v="87"/>
    <d v="2025-03-31T00:00:00"/>
    <s v="F"/>
    <x v="2"/>
    <x v="0"/>
    <x v="0"/>
    <x v="18"/>
    <x v="1"/>
    <x v="12"/>
    <x v="2"/>
  </r>
  <r>
    <s v="TX502400"/>
    <x v="18"/>
    <x v="1"/>
    <n v="84.2"/>
    <n v="168.4"/>
    <x v="87"/>
    <d v="2025-03-31T00:00:00"/>
    <s v="M"/>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052A811-4323-4F98-A8BF-7D5D2E52A02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0" firstHeaderRow="1" firstDataRow="2"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5697AB8-84E1-4A41-9154-3D876FB9B95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11"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showAll="0">
      <items count="5">
        <item x="2"/>
        <item x="1"/>
        <item x="3"/>
        <item x="0"/>
        <item t="default"/>
      </items>
    </pivotField>
    <pivotField axis="axisRow" showAll="0">
      <items count="8">
        <item x="0"/>
        <item x="1"/>
        <item x="2"/>
        <item x="4"/>
        <item x="3"/>
        <item n="6 TO 10" sd="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1">
    <chartFormat chart="1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BCDD8A2-8070-4F4F-AB01-C39D66966AA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F25" firstHeaderRow="1" firstDataRow="2" firstDataCol="1"/>
  <pivotFields count="18">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18"/>
    </i>
    <i>
      <x v="6"/>
    </i>
    <i>
      <x v="13"/>
    </i>
    <i>
      <x v="16"/>
    </i>
    <i>
      <x v="1"/>
    </i>
    <i>
      <x v="12"/>
    </i>
    <i>
      <x v="14"/>
    </i>
    <i>
      <x v="4"/>
    </i>
    <i>
      <x v="5"/>
    </i>
    <i>
      <x v="11"/>
    </i>
    <i>
      <x v="3"/>
    </i>
    <i>
      <x v="8"/>
    </i>
    <i>
      <x v="2"/>
    </i>
    <i>
      <x v="19"/>
    </i>
    <i>
      <x v="10"/>
    </i>
    <i>
      <x v="9"/>
    </i>
    <i>
      <x v="15"/>
    </i>
    <i>
      <x v="17"/>
    </i>
    <i>
      <x/>
    </i>
    <i>
      <x v="7"/>
    </i>
    <i t="grand">
      <x/>
    </i>
  </rowItems>
  <colFields count="1">
    <field x="14"/>
  </colFields>
  <colItems count="5">
    <i>
      <x/>
    </i>
    <i>
      <x v="1"/>
    </i>
    <i>
      <x v="2"/>
    </i>
    <i>
      <x v="3"/>
    </i>
    <i t="grand">
      <x/>
    </i>
  </colItems>
  <dataFields count="1">
    <dataField name="Sum of Quantity" fld="2" baseField="0" baseItem="0"/>
  </dataFields>
  <chartFormats count="4">
    <chartFormat chart="4" format="8" series="1">
      <pivotArea type="data" outline="0" fieldPosition="0">
        <references count="2">
          <reference field="4294967294" count="1" selected="0">
            <x v="0"/>
          </reference>
          <reference field="14" count="1" selected="0">
            <x v="0"/>
          </reference>
        </references>
      </pivotArea>
    </chartFormat>
    <chartFormat chart="4" format="9" series="1">
      <pivotArea type="data" outline="0" fieldPosition="0">
        <references count="2">
          <reference field="4294967294" count="1" selected="0">
            <x v="0"/>
          </reference>
          <reference field="14" count="1" selected="0">
            <x v="1"/>
          </reference>
        </references>
      </pivotArea>
    </chartFormat>
    <chartFormat chart="4" format="10" series="1">
      <pivotArea type="data" outline="0" fieldPosition="0">
        <references count="2">
          <reference field="4294967294" count="1" selected="0">
            <x v="0"/>
          </reference>
          <reference field="14" count="1" selected="0">
            <x v="2"/>
          </reference>
        </references>
      </pivotArea>
    </chartFormat>
    <chartFormat chart="4" format="11"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EADA26B-B747-4215-898E-73BB2C6561B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I4:J9" firstHeaderRow="1" firstDataRow="1" firstDataCol="1"/>
  <pivotFields count="18">
    <pivotField showAll="0"/>
    <pivotField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axis="axisRow"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Items count="1">
    <i/>
  </colItems>
  <dataFields count="1">
    <dataField name="Sum of Quantity" fld="2" baseField="0" baseItem="0"/>
  </dataFields>
  <chartFormats count="13">
    <chartFormat chart="2" format="0" series="1">
      <pivotArea type="data" outline="0" fieldPosition="0">
        <references count="2">
          <reference field="4294967294" count="1" selected="0">
            <x v="0"/>
          </reference>
          <reference field="14" count="1" selected="0">
            <x v="0"/>
          </reference>
        </references>
      </pivotArea>
    </chartFormat>
    <chartFormat chart="2" format="1" series="1">
      <pivotArea type="data" outline="0" fieldPosition="0">
        <references count="2">
          <reference field="4294967294" count="1" selected="0">
            <x v="0"/>
          </reference>
          <reference field="14" count="1" selected="0">
            <x v="1"/>
          </reference>
        </references>
      </pivotArea>
    </chartFormat>
    <chartFormat chart="2" format="2" series="1">
      <pivotArea type="data" outline="0" fieldPosition="0">
        <references count="2">
          <reference field="4294967294" count="1" selected="0">
            <x v="0"/>
          </reference>
          <reference field="14" count="1" selected="0">
            <x v="2"/>
          </reference>
        </references>
      </pivotArea>
    </chartFormat>
    <chartFormat chart="2" format="3" series="1">
      <pivotArea type="data" outline="0" fieldPosition="0">
        <references count="2">
          <reference field="4294967294" count="1" selected="0">
            <x v="0"/>
          </reference>
          <reference field="14" count="1" selected="0">
            <x v="3"/>
          </reference>
        </references>
      </pivotArea>
    </chartFormat>
    <chartFormat chart="4" format="8" series="1">
      <pivotArea type="data" outline="0" fieldPosition="0">
        <references count="2">
          <reference field="4294967294" count="1" selected="0">
            <x v="0"/>
          </reference>
          <reference field="14" count="1" selected="0">
            <x v="0"/>
          </reference>
        </references>
      </pivotArea>
    </chartFormat>
    <chartFormat chart="4" format="9" series="1">
      <pivotArea type="data" outline="0" fieldPosition="0">
        <references count="2">
          <reference field="4294967294" count="1" selected="0">
            <x v="0"/>
          </reference>
          <reference field="14" count="1" selected="0">
            <x v="1"/>
          </reference>
        </references>
      </pivotArea>
    </chartFormat>
    <chartFormat chart="4" format="10" series="1">
      <pivotArea type="data" outline="0" fieldPosition="0">
        <references count="2">
          <reference field="4294967294" count="1" selected="0">
            <x v="0"/>
          </reference>
          <reference field="14" count="1" selected="0">
            <x v="2"/>
          </reference>
        </references>
      </pivotArea>
    </chartFormat>
    <chartFormat chart="4" format="11" series="1">
      <pivotArea type="data" outline="0" fieldPosition="0">
        <references count="2">
          <reference field="4294967294" count="1" selected="0">
            <x v="0"/>
          </reference>
          <reference field="14" count="1" selected="0">
            <x v="3"/>
          </reference>
        </references>
      </pivotArea>
    </chartFormat>
    <chartFormat chart="28" format="6" series="1">
      <pivotArea type="data" outline="0" fieldPosition="0">
        <references count="1">
          <reference field="4294967294" count="1" selected="0">
            <x v="0"/>
          </reference>
        </references>
      </pivotArea>
    </chartFormat>
    <chartFormat chart="28" format="7">
      <pivotArea type="data" outline="0" fieldPosition="0">
        <references count="2">
          <reference field="4294967294" count="1" selected="0">
            <x v="0"/>
          </reference>
          <reference field="14" count="1" selected="0">
            <x v="0"/>
          </reference>
        </references>
      </pivotArea>
    </chartFormat>
    <chartFormat chart="28" format="8">
      <pivotArea type="data" outline="0" fieldPosition="0">
        <references count="2">
          <reference field="4294967294" count="1" selected="0">
            <x v="0"/>
          </reference>
          <reference field="14" count="1" selected="0">
            <x v="1"/>
          </reference>
        </references>
      </pivotArea>
    </chartFormat>
    <chartFormat chart="28" format="9">
      <pivotArea type="data" outline="0" fieldPosition="0">
        <references count="2">
          <reference field="4294967294" count="1" selected="0">
            <x v="0"/>
          </reference>
          <reference field="14" count="1" selected="0">
            <x v="2"/>
          </reference>
        </references>
      </pivotArea>
    </chartFormat>
    <chartFormat chart="28" format="10">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D710620-EE9D-44C6-9B74-021B0044F66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63" firstHeaderRow="0" firstDataRow="1" firstDataCol="1"/>
  <pivotFields count="18">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axis="axisRow" showAll="0">
      <items count="2">
        <item x="0"/>
        <item t="default"/>
      </items>
    </pivotField>
    <pivotField axis="axisRow" showAll="0">
      <items count="59">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 t="default"/>
      </items>
    </pivotField>
    <pivotField showAll="0"/>
    <pivotField showAll="0"/>
    <pivotField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2">
    <field x="10"/>
    <field x="11"/>
  </rowFields>
  <rowItems count="60">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t="grand">
      <x/>
    </i>
  </rowItems>
  <colFields count="1">
    <field x="-2"/>
  </colFields>
  <colItems count="2">
    <i>
      <x/>
    </i>
    <i i="1">
      <x v="1"/>
    </i>
  </colItems>
  <dataFields count="2">
    <dataField name="Sum of Quantity" fld="2" baseField="0" baseItem="0"/>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2453D9C-1CAA-4318-8EF1-AA9496E6CEF8}" name="PivotTable8"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I3:L63" firstHeaderRow="0" firstDataRow="1" firstDataCol="2"/>
  <pivotFields count="18">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numFmtId="15" outline="0"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extLst>
        <ext xmlns:x14="http://schemas.microsoft.com/office/spreadsheetml/2009/9/main" uri="{2946ED86-A175-432a-8AC1-64E0C546D7DE}">
          <x14:pivotField fillDownLabels="1"/>
        </ext>
      </extLst>
    </pivotField>
    <pivotField compact="0" numFmtId="15"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6">
        <item x="0"/>
        <item x="3"/>
        <item x="4"/>
        <item x="2"/>
        <item x="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items count="2">
        <item x="0"/>
        <item t="default"/>
      </items>
      <extLst>
        <ext xmlns:x14="http://schemas.microsoft.com/office/spreadsheetml/2009/9/main" uri="{2946ED86-A175-432a-8AC1-64E0C546D7DE}">
          <x14:pivotField fillDownLabels="1"/>
        </ext>
      </extLst>
    </pivotField>
    <pivotField axis="axisRow" compact="0" outline="0" showAll="0">
      <items count="59">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5">
        <item x="2"/>
        <item x="1"/>
        <item x="3"/>
        <item x="0"/>
        <item t="default"/>
      </items>
      <extLst>
        <ext xmlns:x14="http://schemas.microsoft.com/office/spreadsheetml/2009/9/main" uri="{2946ED86-A175-432a-8AC1-64E0C546D7DE}">
          <x14:pivotField fillDownLabels="1"/>
        </ext>
      </extLst>
    </pivotField>
    <pivotField compact="0" outline="0" showAll="0" defaultSubtotal="0">
      <items count="7">
        <item x="0"/>
        <item x="1"/>
        <item x="2"/>
        <item x="3"/>
        <item x="4"/>
        <item x="5"/>
        <item x="6"/>
      </items>
      <extLst>
        <ext xmlns:x14="http://schemas.microsoft.com/office/spreadsheetml/2009/9/main" uri="{2946ED86-A175-432a-8AC1-64E0C546D7DE}">
          <x14:pivotField fillDownLabels="1"/>
        </ext>
      </extLst>
    </pivotField>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extLst>
        <ext xmlns:x14="http://schemas.microsoft.com/office/spreadsheetml/2009/9/main" uri="{2946ED86-A175-432a-8AC1-64E0C546D7DE}">
          <x14:pivotField fillDownLabels="1"/>
        </ext>
      </extLst>
    </pivotField>
    <pivotField compact="0" outline="0" showAll="0">
      <items count="15">
        <item x="0"/>
        <item x="1"/>
        <item x="2"/>
        <item x="3"/>
        <item x="4"/>
        <item x="5"/>
        <item x="6"/>
        <item x="7"/>
        <item x="8"/>
        <item x="9"/>
        <item x="10"/>
        <item x="11"/>
        <item x="12"/>
        <item x="13"/>
        <item t="default"/>
      </items>
      <extLst>
        <ext xmlns:x14="http://schemas.microsoft.com/office/spreadsheetml/2009/9/main" uri="{2946ED86-A175-432a-8AC1-64E0C546D7DE}">
          <x14:pivotField fillDownLabels="1"/>
        </ext>
      </extLst>
    </pivotField>
  </pivotFields>
  <rowFields count="2">
    <field x="10"/>
    <field x="11"/>
  </rowFields>
  <rowItems count="60">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t="default">
      <x/>
    </i>
    <i t="grand">
      <x/>
    </i>
  </rowItems>
  <colFields count="1">
    <field x="-2"/>
  </colFields>
  <colItems count="2">
    <i>
      <x/>
    </i>
    <i i="1">
      <x v="1"/>
    </i>
  </colItems>
  <dataFields count="2">
    <dataField name="Sum of Quantity" fld="2" baseField="0" baseItem="0"/>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21084DD-41B4-4310-92DC-BCDD12BBC23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19"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1">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4B9857F-D75A-49F1-8F98-B1611A8AF184}" name="PivotTable10" cacheId="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11">
  <location ref="A3:G8" firstHeaderRow="1" firstDataRow="2"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axis="axisCol" showAll="0">
      <items count="6">
        <item x="3"/>
        <item x="4"/>
        <item x="1"/>
        <item x="0"/>
        <item x="2"/>
        <item t="default"/>
      </items>
    </pivotField>
    <pivotField showAll="0"/>
    <pivotField showAll="0"/>
    <pivotField showAll="0"/>
    <pivotField showAll="0"/>
    <pivotField showAll="0">
      <items count="5">
        <item x="2"/>
        <item x="1"/>
        <item x="3"/>
        <item x="0"/>
        <item t="default"/>
      </items>
    </pivotField>
    <pivotField showAll="0" defaultSubtotal="0">
      <items count="7">
        <item x="0"/>
        <item x="1"/>
        <item x="2"/>
        <item x="3"/>
        <item x="4"/>
        <item x="5"/>
        <item x="6"/>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5">
    <chartFormat chart="8" format="13" series="1">
      <pivotArea type="data" outline="0" fieldPosition="0">
        <references count="2">
          <reference field="4294967294" count="1" selected="0">
            <x v="0"/>
          </reference>
          <reference field="9" count="1" selected="0">
            <x v="0"/>
          </reference>
        </references>
      </pivotArea>
    </chartFormat>
    <chartFormat chart="8" format="14" series="1">
      <pivotArea type="data" outline="0" fieldPosition="0">
        <references count="2">
          <reference field="4294967294" count="1" selected="0">
            <x v="0"/>
          </reference>
          <reference field="9" count="1" selected="0">
            <x v="1"/>
          </reference>
        </references>
      </pivotArea>
    </chartFormat>
    <chartFormat chart="8" format="15" series="1">
      <pivotArea type="data" outline="0" fieldPosition="0">
        <references count="2">
          <reference field="4294967294" count="1" selected="0">
            <x v="0"/>
          </reference>
          <reference field="9" count="1" selected="0">
            <x v="2"/>
          </reference>
        </references>
      </pivotArea>
    </chartFormat>
    <chartFormat chart="8" format="16" series="1">
      <pivotArea type="data" outline="0" fieldPosition="0">
        <references count="2">
          <reference field="4294967294" count="1" selected="0">
            <x v="0"/>
          </reference>
          <reference field="9" count="1" selected="0">
            <x v="3"/>
          </reference>
        </references>
      </pivotArea>
    </chartFormat>
    <chartFormat chart="8" format="17"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D1EAB8-A29E-4798-A344-FA0F0D5C9FCA}"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11:U28" firstHeaderRow="1" firstDataRow="1" firstDataCol="0"/>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showAll="0">
      <items count="5">
        <item x="2"/>
        <item x="1"/>
        <item x="3"/>
        <item x="0"/>
        <item t="default"/>
      </items>
    </pivotField>
    <pivotField showAll="0" defaultSubtotal="0">
      <items count="7">
        <item x="0"/>
        <item x="1"/>
        <item x="2"/>
        <item x="3"/>
        <item x="4"/>
        <item x="5"/>
        <item x="6"/>
      </items>
    </pivotField>
    <pivotField showAll="0" defaultSubtotal="0"/>
    <pivotField showAll="0" defaultSubtotal="0">
      <items count="14">
        <item x="0"/>
        <item x="1"/>
        <item x="2"/>
        <item x="3"/>
        <item x="4"/>
        <item x="5"/>
        <item x="6"/>
        <item x="7"/>
        <item x="8"/>
        <item x="9"/>
        <item x="10"/>
        <item x="11"/>
        <item x="12"/>
        <item x="13"/>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1B905C7-126F-4AB5-AFF8-2EF5C3A06A6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8">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dataField="1" showAll="0"/>
    <pivotField showAll="0"/>
    <pivotField showAll="0"/>
    <pivotField dataField="1" showAll="0"/>
    <pivotField showAll="0"/>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0"/>
    <dataField name="Average of Days to Deliver"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134ECE0-8084-4EB7-8DC4-90F6ECDEEED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11:C25" firstHeaderRow="0" firstDataRow="1" firstDataCol="1"/>
  <pivotFields count="18">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numFmtId="164"/>
  </dataFields>
  <chartFormats count="2">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0B2D8092-F245-4C8D-9F50-B4C5493ACDAD}" sourceName="Order Mode">
  <pivotTables>
    <pivotTable tabId="12" name="PivotTable10"/>
    <pivotTable tabId="8" name="PivotTable4"/>
    <pivotTable tabId="9" name="PivotTable5"/>
    <pivotTable tabId="9" name="PivotTable6"/>
    <pivotTable tabId="10" name="PivotTable8"/>
    <pivotTable tabId="11" name="PivotTable9"/>
    <pivotTable tabId="10" name="PivotTable7"/>
    <pivotTable tabId="1" name="PivotTable12"/>
    <pivotTable tabId="5" name="PivotTable1"/>
    <pivotTable tabId="5" name="PivotTable2"/>
  </pivotTables>
  <data>
    <tabular pivotCacheId="451071427">
      <items count="5">
        <i x="0" s="1"/>
        <i x="3"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F7893EEC-2090-4D94-A082-53161EDB0428}" sourceName="Gender Value">
  <pivotTables>
    <pivotTable tabId="12" name="PivotTable10"/>
    <pivotTable tabId="1" name="PivotTable12"/>
    <pivotTable tabId="5" name="PivotTable1"/>
    <pivotTable tabId="5" name="PivotTable2"/>
    <pivotTable tabId="8" name="PivotTable4"/>
    <pivotTable tabId="10" name="PivotTable7"/>
    <pivotTable tabId="10" name="PivotTable8"/>
    <pivotTable tabId="11" name="PivotTable9"/>
  </pivotTables>
  <data>
    <tabular pivotCacheId="451071427">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C4DBCE79-6D10-4984-BFEB-638EE7C4F6A6}" cache="Slicer_Order_Mode" caption="Order Mode" rowHeight="247650"/>
  <slicer name="Gender Value" xr10:uid="{B516AB6A-0CB4-467E-8BF6-95584F6E7DCF}" cache="Slicer_Gender_Value" caption="Gender Valu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4"/>
    <tableColumn id="7" xr3:uid="{43BB5DBF-46E1-4185-80C0-4361F55A385C}" name="Ship Date" dataDxfId="3"/>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2">
      <calculatedColumnFormula>orders[[#This Row],[Ship Date]]-orders[[#This Row],[Order Date]]</calculatedColumnFormula>
    </tableColumn>
    <tableColumn id="12" xr3:uid="{B071C0DA-87A9-4516-B4D9-4F5B7D3FF44A}" name="Weeknum" dataDxfId="1">
      <calculatedColumnFormula>WEEKNUM(orders[[#This Row],[Order Date]])</calculatedColumnFormula>
    </tableColumn>
    <tableColumn id="13" xr3:uid="{B8EA9E28-7541-4E76-9935-C26438661A18}" name="Gender Value" dataDxfId="0">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VivaCalif">
      <a:dk1>
        <a:sysClr val="windowText" lastClr="000000"/>
      </a:dk1>
      <a:lt1>
        <a:sysClr val="window" lastClr="FFFFFF"/>
      </a:lt1>
      <a:dk2>
        <a:srgbClr val="0E2841"/>
      </a:dk2>
      <a:lt2>
        <a:srgbClr val="E8E8E8"/>
      </a:lt2>
      <a:accent1>
        <a:srgbClr val="9FBFAD"/>
      </a:accent1>
      <a:accent2>
        <a:srgbClr val="748C76"/>
      </a:accent2>
      <a:accent3>
        <a:srgbClr val="505947"/>
      </a:accent3>
      <a:accent4>
        <a:srgbClr val="BF7F5A"/>
      </a:accent4>
      <a:accent5>
        <a:srgbClr val="BF3939"/>
      </a:accent5>
      <a:accent6>
        <a:srgbClr val="4887E6"/>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2" Type="http://schemas.openxmlformats.org/officeDocument/2006/relationships/pivotTable" Target="../pivotTables/pivotTable11.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https://chandoo.org/wp/excel-school-program/" TargetMode="External"/><Relationship Id="rId1" Type="http://schemas.openxmlformats.org/officeDocument/2006/relationships/hyperlink" Target="https://youtu.be/l5qkg8gzY6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20103-87B9-43EE-9ACB-2A61523E2EFC}">
  <dimension ref="A3:L10"/>
  <sheetViews>
    <sheetView showGridLines="0" workbookViewId="0">
      <selection activeCell="AB8" sqref="AB8"/>
    </sheetView>
  </sheetViews>
  <sheetFormatPr defaultRowHeight="14.4" x14ac:dyDescent="0.3"/>
  <cols>
    <col min="1" max="1" width="13.5546875" bestFit="1" customWidth="1"/>
    <col min="2" max="2" width="15.5546875" bestFit="1" customWidth="1"/>
    <col min="3" max="3" width="7.109375" bestFit="1" customWidth="1"/>
    <col min="4" max="4" width="6.109375" bestFit="1" customWidth="1"/>
    <col min="5" max="5" width="8.5546875" bestFit="1" customWidth="1"/>
    <col min="6" max="6" width="10.5546875" bestFit="1" customWidth="1"/>
    <col min="8" max="8" width="11" customWidth="1"/>
  </cols>
  <sheetData>
    <row r="3" spans="1:12" x14ac:dyDescent="0.3">
      <c r="A3" s="22" t="s">
        <v>2554</v>
      </c>
      <c r="B3" s="22" t="s">
        <v>2565</v>
      </c>
    </row>
    <row r="4" spans="1:12" ht="15" thickBot="1" x14ac:dyDescent="0.35">
      <c r="A4" s="22" t="s">
        <v>2563</v>
      </c>
      <c r="B4" t="s">
        <v>2566</v>
      </c>
      <c r="C4" t="s">
        <v>2567</v>
      </c>
      <c r="D4" t="s">
        <v>2568</v>
      </c>
      <c r="E4" t="s">
        <v>2569</v>
      </c>
      <c r="F4" t="s">
        <v>2564</v>
      </c>
      <c r="H4" s="26"/>
      <c r="I4" s="27" t="str">
        <f>B4</f>
        <v>Female</v>
      </c>
      <c r="J4" s="27" t="str">
        <f t="shared" ref="J4:L4" si="0">C4</f>
        <v>Male</v>
      </c>
      <c r="K4" s="27" t="str">
        <f t="shared" si="0"/>
        <v>Other</v>
      </c>
      <c r="L4" s="28" t="str">
        <f t="shared" si="0"/>
        <v>Unknown</v>
      </c>
    </row>
    <row r="5" spans="1:12" ht="15.6" thickTop="1" thickBot="1" x14ac:dyDescent="0.35">
      <c r="A5" s="23" t="s">
        <v>18</v>
      </c>
      <c r="B5" s="25">
        <v>0.18961825201634841</v>
      </c>
      <c r="C5" s="25">
        <v>0.12262322351336576</v>
      </c>
      <c r="D5" s="25">
        <v>1.060537752469185E-2</v>
      </c>
      <c r="E5" s="25">
        <v>3.0599220547662797E-2</v>
      </c>
      <c r="F5" s="25">
        <v>0.35344607360206881</v>
      </c>
      <c r="H5" s="29" t="str">
        <f>A5</f>
        <v>App</v>
      </c>
      <c r="I5" s="30">
        <f t="shared" ref="I5:L9" si="1">B5</f>
        <v>0.18961825201634841</v>
      </c>
      <c r="J5" s="30">
        <f t="shared" si="1"/>
        <v>0.12262322351336576</v>
      </c>
      <c r="K5" s="30">
        <f t="shared" si="1"/>
        <v>1.060537752469185E-2</v>
      </c>
      <c r="L5" s="31">
        <f t="shared" si="1"/>
        <v>3.0599220547662797E-2</v>
      </c>
    </row>
    <row r="6" spans="1:12" ht="15.6" thickTop="1" thickBot="1" x14ac:dyDescent="0.35">
      <c r="A6" s="23" t="s">
        <v>51</v>
      </c>
      <c r="B6" s="25">
        <v>5.0283982091147303E-2</v>
      </c>
      <c r="C6" s="25">
        <v>4.3060781812819873E-2</v>
      </c>
      <c r="D6" s="25">
        <v>1.5320025675641944E-3</v>
      </c>
      <c r="E6" s="25">
        <v>1.7794988689097006E-2</v>
      </c>
      <c r="F6" s="25">
        <v>0.11267175516062837</v>
      </c>
      <c r="H6" s="29" t="str">
        <f t="shared" ref="H6:H9" si="2">A6</f>
        <v>Instagram</v>
      </c>
      <c r="I6" s="30">
        <f t="shared" si="1"/>
        <v>5.0283982091147303E-2</v>
      </c>
      <c r="J6" s="30">
        <f t="shared" si="1"/>
        <v>4.3060781812819873E-2</v>
      </c>
      <c r="K6" s="30">
        <f t="shared" si="1"/>
        <v>1.5320025675641944E-3</v>
      </c>
      <c r="L6" s="31">
        <f t="shared" si="1"/>
        <v>1.7794988689097006E-2</v>
      </c>
    </row>
    <row r="7" spans="1:12" ht="15.6" thickTop="1" thickBot="1" x14ac:dyDescent="0.35">
      <c r="A7" s="23" t="s">
        <v>70</v>
      </c>
      <c r="B7" s="25">
        <v>6.3496059750411282E-2</v>
      </c>
      <c r="C7" s="25">
        <v>4.6071629863988765E-2</v>
      </c>
      <c r="D7" s="25">
        <v>2.306247051322625E-3</v>
      </c>
      <c r="E7" s="25">
        <v>3.8927934093844286E-3</v>
      </c>
      <c r="F7" s="25">
        <v>0.11576673007510711</v>
      </c>
      <c r="H7" s="29" t="str">
        <f t="shared" si="2"/>
        <v>Partner App</v>
      </c>
      <c r="I7" s="30">
        <f t="shared" si="1"/>
        <v>6.3496059750411282E-2</v>
      </c>
      <c r="J7" s="30">
        <f t="shared" si="1"/>
        <v>4.6071629863988765E-2</v>
      </c>
      <c r="K7" s="30">
        <f t="shared" si="1"/>
        <v>2.306247051322625E-3</v>
      </c>
      <c r="L7" s="31">
        <f t="shared" si="1"/>
        <v>3.8927934093844286E-3</v>
      </c>
    </row>
    <row r="8" spans="1:12" ht="15.6" thickTop="1" thickBot="1" x14ac:dyDescent="0.35">
      <c r="A8" s="23" t="s">
        <v>40</v>
      </c>
      <c r="B8" s="25">
        <v>9.6337892927149532E-2</v>
      </c>
      <c r="C8" s="25">
        <v>6.7920115842382611E-2</v>
      </c>
      <c r="D8" s="25">
        <v>5.4979832664581261E-3</v>
      </c>
      <c r="E8" s="25">
        <v>1.2933041488102518E-2</v>
      </c>
      <c r="F8" s="25">
        <v>0.1826890335240928</v>
      </c>
      <c r="H8" s="29" t="str">
        <f t="shared" si="2"/>
        <v>Target.com</v>
      </c>
      <c r="I8" s="30">
        <f t="shared" si="1"/>
        <v>9.6337892927149532E-2</v>
      </c>
      <c r="J8" s="30">
        <f t="shared" si="1"/>
        <v>6.7920115842382611E-2</v>
      </c>
      <c r="K8" s="30">
        <f t="shared" si="1"/>
        <v>5.4979832664581261E-3</v>
      </c>
      <c r="L8" s="31">
        <f t="shared" si="1"/>
        <v>1.2933041488102518E-2</v>
      </c>
    </row>
    <row r="9" spans="1:12" ht="15" thickTop="1" x14ac:dyDescent="0.3">
      <c r="A9" s="23" t="s">
        <v>35</v>
      </c>
      <c r="B9" s="25">
        <v>0.12522098709469262</v>
      </c>
      <c r="C9" s="25">
        <v>9.1492740283116228E-2</v>
      </c>
      <c r="D9" s="25">
        <v>6.3042760790965081E-3</v>
      </c>
      <c r="E9" s="25">
        <v>1.2408404181197551E-2</v>
      </c>
      <c r="F9" s="25">
        <v>0.23542640763810288</v>
      </c>
      <c r="H9" s="32" t="str">
        <f t="shared" si="2"/>
        <v>Website</v>
      </c>
      <c r="I9" s="33">
        <f t="shared" si="1"/>
        <v>0.12522098709469262</v>
      </c>
      <c r="J9" s="33">
        <f t="shared" si="1"/>
        <v>9.1492740283116228E-2</v>
      </c>
      <c r="K9" s="33">
        <f t="shared" si="1"/>
        <v>6.3042760790965081E-3</v>
      </c>
      <c r="L9" s="34">
        <f t="shared" si="1"/>
        <v>1.2408404181197551E-2</v>
      </c>
    </row>
    <row r="10" spans="1:12" x14ac:dyDescent="0.3">
      <c r="A10" s="23" t="s">
        <v>2564</v>
      </c>
      <c r="B10" s="25">
        <v>0.52495717387974916</v>
      </c>
      <c r="C10" s="25">
        <v>0.3711684913156732</v>
      </c>
      <c r="D10" s="25">
        <v>2.6245886489133303E-2</v>
      </c>
      <c r="E10" s="25">
        <v>7.7628448315444312E-2</v>
      </c>
      <c r="F10" s="25">
        <v>1</v>
      </c>
    </row>
  </sheetData>
  <conditionalFormatting sqref="I5:L9">
    <cfRule type="colorScale" priority="1">
      <colorScale>
        <cfvo type="min"/>
        <cfvo type="percentile" val="50"/>
        <cfvo type="max"/>
        <color rgb="FFF8696B"/>
        <color rgb="FFFCFCFF"/>
        <color rgb="FF5A8AC6"/>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11B61-F0AB-495E-BE02-53AEDD3C0BB2}">
  <dimension ref="A3:B11"/>
  <sheetViews>
    <sheetView workbookViewId="0">
      <selection activeCell="AB8" sqref="AB8"/>
    </sheetView>
  </sheetViews>
  <sheetFormatPr defaultRowHeight="14.4" x14ac:dyDescent="0.3"/>
  <cols>
    <col min="1" max="1" width="12.44140625" bestFit="1" customWidth="1"/>
    <col min="2" max="2" width="12.21875" bestFit="1" customWidth="1"/>
  </cols>
  <sheetData>
    <row r="3" spans="1:2" x14ac:dyDescent="0.3">
      <c r="A3" s="22" t="s">
        <v>2563</v>
      </c>
      <c r="B3" t="s">
        <v>2552</v>
      </c>
    </row>
    <row r="4" spans="1:2" x14ac:dyDescent="0.3">
      <c r="A4" s="23">
        <v>1</v>
      </c>
      <c r="B4">
        <v>397</v>
      </c>
    </row>
    <row r="5" spans="1:2" x14ac:dyDescent="0.3">
      <c r="A5" s="23">
        <v>2</v>
      </c>
      <c r="B5">
        <v>540</v>
      </c>
    </row>
    <row r="6" spans="1:2" x14ac:dyDescent="0.3">
      <c r="A6" s="23">
        <v>3</v>
      </c>
      <c r="B6">
        <v>375</v>
      </c>
    </row>
    <row r="7" spans="1:2" x14ac:dyDescent="0.3">
      <c r="A7" s="23">
        <v>4</v>
      </c>
      <c r="B7">
        <v>246</v>
      </c>
    </row>
    <row r="8" spans="1:2" x14ac:dyDescent="0.3">
      <c r="A8" s="23">
        <v>5</v>
      </c>
      <c r="B8">
        <v>195</v>
      </c>
    </row>
    <row r="9" spans="1:2" x14ac:dyDescent="0.3">
      <c r="A9" s="23" t="s">
        <v>2570</v>
      </c>
      <c r="B9">
        <v>414</v>
      </c>
    </row>
    <row r="10" spans="1:2" x14ac:dyDescent="0.3">
      <c r="A10" s="23" t="s">
        <v>2571</v>
      </c>
      <c r="B10">
        <v>233</v>
      </c>
    </row>
    <row r="11" spans="1:2" x14ac:dyDescent="0.3">
      <c r="A11" s="23" t="s">
        <v>2564</v>
      </c>
      <c r="B11">
        <v>2400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041AA-D27D-4D67-BE7A-1F92B6BB7191}">
  <dimension ref="A3:J25"/>
  <sheetViews>
    <sheetView workbookViewId="0">
      <selection activeCell="O9" sqref="O9"/>
    </sheetView>
  </sheetViews>
  <sheetFormatPr defaultRowHeight="14.4" x14ac:dyDescent="0.3"/>
  <cols>
    <col min="1" max="1" width="19.109375" bestFit="1" customWidth="1"/>
    <col min="2" max="2" width="15.5546875" bestFit="1" customWidth="1"/>
    <col min="3" max="3" width="5" bestFit="1" customWidth="1"/>
    <col min="4" max="4" width="5.6640625" bestFit="1" customWidth="1"/>
    <col min="5" max="5" width="8.5546875" bestFit="1" customWidth="1"/>
    <col min="6" max="6" width="10.5546875" bestFit="1" customWidth="1"/>
    <col min="9" max="9" width="12.44140625" bestFit="1" customWidth="1"/>
    <col min="10" max="10" width="14.21875" bestFit="1" customWidth="1"/>
    <col min="11" max="11" width="5" bestFit="1" customWidth="1"/>
    <col min="12" max="12" width="5.6640625" bestFit="1" customWidth="1"/>
    <col min="13" max="13" width="8.5546875" bestFit="1" customWidth="1"/>
    <col min="14" max="14" width="10.5546875" bestFit="1" customWidth="1"/>
  </cols>
  <sheetData>
    <row r="3" spans="1:10" x14ac:dyDescent="0.3">
      <c r="A3" s="22" t="s">
        <v>2553</v>
      </c>
      <c r="B3" s="22" t="s">
        <v>2565</v>
      </c>
    </row>
    <row r="4" spans="1:10" x14ac:dyDescent="0.3">
      <c r="A4" s="22" t="s">
        <v>2563</v>
      </c>
      <c r="B4" t="s">
        <v>2566</v>
      </c>
      <c r="C4" t="s">
        <v>2567</v>
      </c>
      <c r="D4" t="s">
        <v>2568</v>
      </c>
      <c r="E4" t="s">
        <v>2569</v>
      </c>
      <c r="F4" t="s">
        <v>2564</v>
      </c>
      <c r="I4" s="22" t="s">
        <v>2563</v>
      </c>
      <c r="J4" t="s">
        <v>2553</v>
      </c>
    </row>
    <row r="5" spans="1:10" x14ac:dyDescent="0.3">
      <c r="A5" s="23" t="s">
        <v>44</v>
      </c>
      <c r="B5">
        <v>744</v>
      </c>
      <c r="C5">
        <v>713</v>
      </c>
      <c r="D5">
        <v>90</v>
      </c>
      <c r="E5">
        <v>98</v>
      </c>
      <c r="F5">
        <v>1645</v>
      </c>
      <c r="I5" s="23" t="s">
        <v>2566</v>
      </c>
      <c r="J5">
        <v>6272</v>
      </c>
    </row>
    <row r="6" spans="1:10" x14ac:dyDescent="0.3">
      <c r="A6" s="23" t="s">
        <v>39</v>
      </c>
      <c r="B6">
        <v>716</v>
      </c>
      <c r="C6">
        <v>598</v>
      </c>
      <c r="D6">
        <v>18</v>
      </c>
      <c r="E6">
        <v>214</v>
      </c>
      <c r="F6">
        <v>1546</v>
      </c>
      <c r="I6" s="23" t="s">
        <v>2567</v>
      </c>
      <c r="J6">
        <v>4672</v>
      </c>
    </row>
    <row r="7" spans="1:10" x14ac:dyDescent="0.3">
      <c r="A7" s="23" t="s">
        <v>26</v>
      </c>
      <c r="B7">
        <v>627</v>
      </c>
      <c r="C7">
        <v>393</v>
      </c>
      <c r="D7">
        <v>29</v>
      </c>
      <c r="E7">
        <v>137</v>
      </c>
      <c r="F7">
        <v>1186</v>
      </c>
      <c r="I7" s="23" t="s">
        <v>2568</v>
      </c>
      <c r="J7">
        <v>317</v>
      </c>
    </row>
    <row r="8" spans="1:10" x14ac:dyDescent="0.3">
      <c r="A8" s="23" t="s">
        <v>22</v>
      </c>
      <c r="B8">
        <v>568</v>
      </c>
      <c r="C8">
        <v>306</v>
      </c>
      <c r="D8">
        <v>22</v>
      </c>
      <c r="E8">
        <v>16</v>
      </c>
      <c r="F8">
        <v>912</v>
      </c>
      <c r="I8" s="23" t="s">
        <v>2569</v>
      </c>
      <c r="J8">
        <v>736</v>
      </c>
    </row>
    <row r="9" spans="1:10" x14ac:dyDescent="0.3">
      <c r="A9" s="23" t="s">
        <v>54</v>
      </c>
      <c r="B9">
        <v>482</v>
      </c>
      <c r="C9">
        <v>295</v>
      </c>
      <c r="D9">
        <v>8</v>
      </c>
      <c r="E9">
        <v>22</v>
      </c>
      <c r="F9">
        <v>807</v>
      </c>
      <c r="I9" s="23" t="s">
        <v>2564</v>
      </c>
      <c r="J9">
        <v>11997</v>
      </c>
    </row>
    <row r="10" spans="1:10" x14ac:dyDescent="0.3">
      <c r="A10" s="23" t="s">
        <v>16</v>
      </c>
      <c r="B10">
        <v>428</v>
      </c>
      <c r="C10">
        <v>293</v>
      </c>
      <c r="E10">
        <v>24</v>
      </c>
      <c r="F10">
        <v>745</v>
      </c>
    </row>
    <row r="11" spans="1:10" x14ac:dyDescent="0.3">
      <c r="A11" s="23" t="s">
        <v>46</v>
      </c>
      <c r="B11">
        <v>445</v>
      </c>
      <c r="C11">
        <v>202</v>
      </c>
      <c r="D11">
        <v>14</v>
      </c>
      <c r="E11">
        <v>39</v>
      </c>
      <c r="F11">
        <v>700</v>
      </c>
    </row>
    <row r="12" spans="1:10" x14ac:dyDescent="0.3">
      <c r="A12" s="23" t="s">
        <v>32</v>
      </c>
      <c r="B12">
        <v>431</v>
      </c>
      <c r="C12">
        <v>187</v>
      </c>
      <c r="D12">
        <v>14</v>
      </c>
      <c r="E12">
        <v>15</v>
      </c>
      <c r="F12">
        <v>647</v>
      </c>
    </row>
    <row r="13" spans="1:10" x14ac:dyDescent="0.3">
      <c r="A13" s="23" t="s">
        <v>42</v>
      </c>
      <c r="B13">
        <v>264</v>
      </c>
      <c r="C13">
        <v>318</v>
      </c>
      <c r="D13">
        <v>15</v>
      </c>
      <c r="E13">
        <v>9</v>
      </c>
      <c r="F13">
        <v>606</v>
      </c>
    </row>
    <row r="14" spans="1:10" x14ac:dyDescent="0.3">
      <c r="A14" s="23" t="s">
        <v>37</v>
      </c>
      <c r="B14">
        <v>296</v>
      </c>
      <c r="C14">
        <v>275</v>
      </c>
      <c r="D14">
        <v>9</v>
      </c>
      <c r="E14">
        <v>23</v>
      </c>
      <c r="F14">
        <v>603</v>
      </c>
    </row>
    <row r="15" spans="1:10" x14ac:dyDescent="0.3">
      <c r="A15" s="23" t="s">
        <v>123</v>
      </c>
      <c r="B15">
        <v>153</v>
      </c>
      <c r="C15">
        <v>246</v>
      </c>
      <c r="D15">
        <v>30</v>
      </c>
      <c r="E15">
        <v>8</v>
      </c>
      <c r="F15">
        <v>437</v>
      </c>
    </row>
    <row r="16" spans="1:10" x14ac:dyDescent="0.3">
      <c r="A16" s="23" t="s">
        <v>146</v>
      </c>
      <c r="B16">
        <v>189</v>
      </c>
      <c r="C16">
        <v>168</v>
      </c>
      <c r="D16">
        <v>10</v>
      </c>
      <c r="E16">
        <v>31</v>
      </c>
      <c r="F16">
        <v>398</v>
      </c>
    </row>
    <row r="17" spans="1:6" x14ac:dyDescent="0.3">
      <c r="A17" s="23" t="s">
        <v>69</v>
      </c>
      <c r="B17">
        <v>234</v>
      </c>
      <c r="C17">
        <v>93</v>
      </c>
      <c r="D17">
        <v>19</v>
      </c>
      <c r="E17">
        <v>24</v>
      </c>
      <c r="F17">
        <v>370</v>
      </c>
    </row>
    <row r="18" spans="1:6" x14ac:dyDescent="0.3">
      <c r="A18" s="23" t="s">
        <v>30</v>
      </c>
      <c r="B18">
        <v>146</v>
      </c>
      <c r="C18">
        <v>94</v>
      </c>
      <c r="D18">
        <v>4</v>
      </c>
      <c r="E18">
        <v>28</v>
      </c>
      <c r="F18">
        <v>272</v>
      </c>
    </row>
    <row r="19" spans="1:6" x14ac:dyDescent="0.3">
      <c r="A19" s="23" t="s">
        <v>135</v>
      </c>
      <c r="B19">
        <v>127</v>
      </c>
      <c r="C19">
        <v>118</v>
      </c>
      <c r="D19">
        <v>13</v>
      </c>
      <c r="E19">
        <v>12</v>
      </c>
      <c r="F19">
        <v>270</v>
      </c>
    </row>
    <row r="20" spans="1:6" x14ac:dyDescent="0.3">
      <c r="A20" s="23" t="s">
        <v>67</v>
      </c>
      <c r="B20">
        <v>179</v>
      </c>
      <c r="C20">
        <v>76</v>
      </c>
      <c r="D20">
        <v>3</v>
      </c>
      <c r="F20">
        <v>258</v>
      </c>
    </row>
    <row r="21" spans="1:6" x14ac:dyDescent="0.3">
      <c r="A21" s="23" t="s">
        <v>128</v>
      </c>
      <c r="B21">
        <v>99</v>
      </c>
      <c r="C21">
        <v>69</v>
      </c>
      <c r="D21">
        <v>3</v>
      </c>
      <c r="E21">
        <v>24</v>
      </c>
      <c r="F21">
        <v>195</v>
      </c>
    </row>
    <row r="22" spans="1:6" x14ac:dyDescent="0.3">
      <c r="A22" s="23" t="s">
        <v>76</v>
      </c>
      <c r="B22">
        <v>75</v>
      </c>
      <c r="C22">
        <v>103</v>
      </c>
      <c r="D22">
        <v>4</v>
      </c>
      <c r="E22">
        <v>6</v>
      </c>
      <c r="F22">
        <v>188</v>
      </c>
    </row>
    <row r="23" spans="1:6" x14ac:dyDescent="0.3">
      <c r="A23" s="23" t="s">
        <v>81</v>
      </c>
      <c r="B23">
        <v>43</v>
      </c>
      <c r="C23">
        <v>90</v>
      </c>
      <c r="D23">
        <v>8</v>
      </c>
      <c r="E23">
        <v>6</v>
      </c>
      <c r="F23">
        <v>147</v>
      </c>
    </row>
    <row r="24" spans="1:6" x14ac:dyDescent="0.3">
      <c r="A24" s="23" t="s">
        <v>171</v>
      </c>
      <c r="B24">
        <v>26</v>
      </c>
      <c r="C24">
        <v>35</v>
      </c>
      <c r="D24">
        <v>4</v>
      </c>
      <c r="F24">
        <v>65</v>
      </c>
    </row>
    <row r="25" spans="1:6" x14ac:dyDescent="0.3">
      <c r="A25" s="23" t="s">
        <v>2564</v>
      </c>
      <c r="B25">
        <v>6272</v>
      </c>
      <c r="C25">
        <v>4672</v>
      </c>
      <c r="D25">
        <v>317</v>
      </c>
      <c r="E25">
        <v>736</v>
      </c>
      <c r="F25">
        <v>11997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A03AD-89BD-4205-AD32-50C5BB99A45E}">
  <dimension ref="A3:L124"/>
  <sheetViews>
    <sheetView topLeftCell="A7" zoomScaleNormal="100" workbookViewId="0">
      <selection activeCell="I4" sqref="I4:I61 K4:L61"/>
      <pivotSelection pane="bottomRight" showHeader="1" extendable="1" axis="axisRow" max="60" activeRow="3" activeCol="8" previousRow="3" previousCol="8" click="1" r:id="rId2">
        <pivotArea dataOnly="0" outline="0" fieldPosition="0">
          <references count="1">
            <reference field="10" count="1">
              <x v="0"/>
            </reference>
          </references>
        </pivotArea>
      </pivotSelection>
    </sheetView>
  </sheetViews>
  <sheetFormatPr defaultRowHeight="14.4" x14ac:dyDescent="0.3"/>
  <cols>
    <col min="1" max="1" width="22.77734375" bestFit="1" customWidth="1"/>
    <col min="2" max="2" width="14.21875" bestFit="1" customWidth="1"/>
    <col min="3" max="3" width="13.5546875" bestFit="1" customWidth="1"/>
    <col min="6" max="6" width="11.88671875" customWidth="1"/>
    <col min="7" max="7" width="19.33203125" customWidth="1"/>
    <col min="8" max="9" width="14.6640625" customWidth="1"/>
    <col min="10" max="10" width="19.6640625" bestFit="1" customWidth="1"/>
    <col min="11" max="11" width="14.21875" bestFit="1" customWidth="1"/>
    <col min="12" max="12" width="13.5546875" bestFit="1" customWidth="1"/>
  </cols>
  <sheetData>
    <row r="3" spans="1:12" x14ac:dyDescent="0.3">
      <c r="A3" s="22" t="s">
        <v>2563</v>
      </c>
      <c r="B3" t="s">
        <v>2553</v>
      </c>
      <c r="C3" t="s">
        <v>2554</v>
      </c>
      <c r="I3" s="22" t="s">
        <v>10</v>
      </c>
      <c r="J3" s="22" t="s">
        <v>11</v>
      </c>
      <c r="K3" t="s">
        <v>2553</v>
      </c>
      <c r="L3" t="s">
        <v>2554</v>
      </c>
    </row>
    <row r="4" spans="1:12" x14ac:dyDescent="0.3">
      <c r="A4" s="23" t="s">
        <v>19</v>
      </c>
      <c r="B4">
        <v>11997</v>
      </c>
      <c r="C4">
        <v>649019.79999999981</v>
      </c>
      <c r="I4" t="s">
        <v>19</v>
      </c>
      <c r="J4" t="s">
        <v>115</v>
      </c>
      <c r="K4">
        <v>579</v>
      </c>
      <c r="L4">
        <v>31884.999999999996</v>
      </c>
    </row>
    <row r="5" spans="1:12" x14ac:dyDescent="0.3">
      <c r="A5" s="4" t="s">
        <v>115</v>
      </c>
      <c r="B5">
        <v>579</v>
      </c>
      <c r="C5">
        <v>31884.999999999996</v>
      </c>
      <c r="I5" t="s">
        <v>19</v>
      </c>
      <c r="J5" t="s">
        <v>20</v>
      </c>
      <c r="K5">
        <v>1</v>
      </c>
      <c r="L5">
        <v>10.9</v>
      </c>
    </row>
    <row r="6" spans="1:12" x14ac:dyDescent="0.3">
      <c r="A6" s="4" t="s">
        <v>20</v>
      </c>
      <c r="B6">
        <v>1</v>
      </c>
      <c r="C6">
        <v>10.9</v>
      </c>
      <c r="I6" t="s">
        <v>19</v>
      </c>
      <c r="J6" t="s">
        <v>641</v>
      </c>
      <c r="K6">
        <v>9</v>
      </c>
      <c r="L6">
        <v>800.3</v>
      </c>
    </row>
    <row r="7" spans="1:12" x14ac:dyDescent="0.3">
      <c r="A7" s="4" t="s">
        <v>641</v>
      </c>
      <c r="B7">
        <v>9</v>
      </c>
      <c r="C7">
        <v>800.3</v>
      </c>
      <c r="I7" t="s">
        <v>19</v>
      </c>
      <c r="J7" t="s">
        <v>967</v>
      </c>
      <c r="K7">
        <v>35</v>
      </c>
      <c r="L7">
        <v>1062.5999999999999</v>
      </c>
    </row>
    <row r="8" spans="1:12" x14ac:dyDescent="0.3">
      <c r="A8" s="4" t="s">
        <v>967</v>
      </c>
      <c r="B8">
        <v>35</v>
      </c>
      <c r="C8">
        <v>1062.5999999999999</v>
      </c>
      <c r="I8" t="s">
        <v>19</v>
      </c>
      <c r="J8" t="s">
        <v>84</v>
      </c>
      <c r="K8">
        <v>12</v>
      </c>
      <c r="L8">
        <v>326.20000000000005</v>
      </c>
    </row>
    <row r="9" spans="1:12" x14ac:dyDescent="0.3">
      <c r="A9" s="4" t="s">
        <v>84</v>
      </c>
      <c r="B9">
        <v>12</v>
      </c>
      <c r="C9">
        <v>326.20000000000005</v>
      </c>
      <c r="I9" t="s">
        <v>19</v>
      </c>
      <c r="J9" t="s">
        <v>1383</v>
      </c>
      <c r="K9">
        <v>4</v>
      </c>
      <c r="L9">
        <v>167.5</v>
      </c>
    </row>
    <row r="10" spans="1:12" x14ac:dyDescent="0.3">
      <c r="A10" s="4" t="s">
        <v>1383</v>
      </c>
      <c r="B10">
        <v>4</v>
      </c>
      <c r="C10">
        <v>167.5</v>
      </c>
      <c r="I10" t="s">
        <v>19</v>
      </c>
      <c r="J10" t="s">
        <v>24</v>
      </c>
      <c r="K10">
        <v>341</v>
      </c>
      <c r="L10">
        <v>16168.7</v>
      </c>
    </row>
    <row r="11" spans="1:12" x14ac:dyDescent="0.3">
      <c r="A11" s="4" t="s">
        <v>24</v>
      </c>
      <c r="B11">
        <v>341</v>
      </c>
      <c r="C11">
        <v>16168.7</v>
      </c>
      <c r="I11" t="s">
        <v>19</v>
      </c>
      <c r="J11" t="s">
        <v>2204</v>
      </c>
      <c r="K11">
        <v>13</v>
      </c>
      <c r="L11">
        <v>322.40000000000003</v>
      </c>
    </row>
    <row r="12" spans="1:12" x14ac:dyDescent="0.3">
      <c r="A12" s="4" t="s">
        <v>2204</v>
      </c>
      <c r="B12">
        <v>13</v>
      </c>
      <c r="C12">
        <v>322.40000000000003</v>
      </c>
      <c r="I12" t="s">
        <v>19</v>
      </c>
      <c r="J12" t="s">
        <v>437</v>
      </c>
      <c r="K12">
        <v>31</v>
      </c>
      <c r="L12">
        <v>2092.8000000000002</v>
      </c>
    </row>
    <row r="13" spans="1:12" x14ac:dyDescent="0.3">
      <c r="A13" s="4" t="s">
        <v>437</v>
      </c>
      <c r="B13">
        <v>31</v>
      </c>
      <c r="C13">
        <v>2092.8000000000002</v>
      </c>
      <c r="I13" t="s">
        <v>19</v>
      </c>
      <c r="J13" t="s">
        <v>28</v>
      </c>
      <c r="K13">
        <v>279</v>
      </c>
      <c r="L13">
        <v>12662.500000000002</v>
      </c>
    </row>
    <row r="14" spans="1:12" x14ac:dyDescent="0.3">
      <c r="A14" s="4" t="s">
        <v>28</v>
      </c>
      <c r="B14">
        <v>279</v>
      </c>
      <c r="C14">
        <v>12662.500000000002</v>
      </c>
      <c r="I14" t="s">
        <v>19</v>
      </c>
      <c r="J14" t="s">
        <v>208</v>
      </c>
      <c r="K14">
        <v>9</v>
      </c>
      <c r="L14">
        <v>343.2</v>
      </c>
    </row>
    <row r="15" spans="1:12" x14ac:dyDescent="0.3">
      <c r="A15" s="4" t="s">
        <v>208</v>
      </c>
      <c r="B15">
        <v>9</v>
      </c>
      <c r="C15">
        <v>343.2</v>
      </c>
      <c r="I15" t="s">
        <v>19</v>
      </c>
      <c r="J15" t="s">
        <v>587</v>
      </c>
      <c r="K15">
        <v>49</v>
      </c>
      <c r="L15">
        <v>2188.2999999999997</v>
      </c>
    </row>
    <row r="16" spans="1:12" x14ac:dyDescent="0.3">
      <c r="A16" s="4" t="s">
        <v>587</v>
      </c>
      <c r="B16">
        <v>49</v>
      </c>
      <c r="C16">
        <v>2188.2999999999997</v>
      </c>
      <c r="I16" t="s">
        <v>19</v>
      </c>
      <c r="J16" t="s">
        <v>331</v>
      </c>
      <c r="K16">
        <v>59</v>
      </c>
      <c r="L16">
        <v>2661.5999999999995</v>
      </c>
    </row>
    <row r="17" spans="1:12" x14ac:dyDescent="0.3">
      <c r="A17" s="4" t="s">
        <v>331</v>
      </c>
      <c r="B17">
        <v>59</v>
      </c>
      <c r="C17">
        <v>2661.5999999999995</v>
      </c>
      <c r="I17" t="s">
        <v>19</v>
      </c>
      <c r="J17" t="s">
        <v>86</v>
      </c>
      <c r="K17">
        <v>8</v>
      </c>
      <c r="L17">
        <v>887.5</v>
      </c>
    </row>
    <row r="18" spans="1:12" x14ac:dyDescent="0.3">
      <c r="A18" s="4" t="s">
        <v>86</v>
      </c>
      <c r="B18">
        <v>8</v>
      </c>
      <c r="C18">
        <v>887.5</v>
      </c>
      <c r="I18" t="s">
        <v>19</v>
      </c>
      <c r="J18" t="s">
        <v>147</v>
      </c>
      <c r="K18">
        <v>222</v>
      </c>
      <c r="L18">
        <v>11354.199999999993</v>
      </c>
    </row>
    <row r="19" spans="1:12" x14ac:dyDescent="0.3">
      <c r="A19" s="4" t="s">
        <v>147</v>
      </c>
      <c r="B19">
        <v>222</v>
      </c>
      <c r="C19">
        <v>11354.199999999993</v>
      </c>
      <c r="I19" t="s">
        <v>19</v>
      </c>
      <c r="J19" t="s">
        <v>334</v>
      </c>
      <c r="K19">
        <v>36</v>
      </c>
      <c r="L19">
        <v>1558.4</v>
      </c>
    </row>
    <row r="20" spans="1:12" x14ac:dyDescent="0.3">
      <c r="A20" s="4" t="s">
        <v>334</v>
      </c>
      <c r="B20">
        <v>36</v>
      </c>
      <c r="C20">
        <v>1558.4</v>
      </c>
      <c r="I20" t="s">
        <v>19</v>
      </c>
      <c r="J20" t="s">
        <v>949</v>
      </c>
      <c r="K20">
        <v>30</v>
      </c>
      <c r="L20">
        <v>2223.9</v>
      </c>
    </row>
    <row r="21" spans="1:12" x14ac:dyDescent="0.3">
      <c r="A21" s="4" t="s">
        <v>949</v>
      </c>
      <c r="B21">
        <v>30</v>
      </c>
      <c r="C21">
        <v>2223.9</v>
      </c>
      <c r="I21" t="s">
        <v>19</v>
      </c>
      <c r="J21" t="s">
        <v>1426</v>
      </c>
      <c r="K21">
        <v>1</v>
      </c>
      <c r="L21">
        <v>26.2</v>
      </c>
    </row>
    <row r="22" spans="1:12" x14ac:dyDescent="0.3">
      <c r="A22" s="4" t="s">
        <v>1426</v>
      </c>
      <c r="B22">
        <v>1</v>
      </c>
      <c r="C22">
        <v>26.2</v>
      </c>
      <c r="I22" t="s">
        <v>19</v>
      </c>
      <c r="J22" t="s">
        <v>33</v>
      </c>
      <c r="K22">
        <v>3991</v>
      </c>
      <c r="L22">
        <v>215551.19999999981</v>
      </c>
    </row>
    <row r="23" spans="1:12" x14ac:dyDescent="0.3">
      <c r="A23" s="4" t="s">
        <v>33</v>
      </c>
      <c r="B23">
        <v>3991</v>
      </c>
      <c r="C23">
        <v>215551.19999999981</v>
      </c>
      <c r="I23" t="s">
        <v>19</v>
      </c>
      <c r="J23" t="s">
        <v>364</v>
      </c>
      <c r="K23">
        <v>45</v>
      </c>
      <c r="L23">
        <v>2687.3999999999996</v>
      </c>
    </row>
    <row r="24" spans="1:12" x14ac:dyDescent="0.3">
      <c r="A24" s="4" t="s">
        <v>364</v>
      </c>
      <c r="B24">
        <v>45</v>
      </c>
      <c r="C24">
        <v>2687.3999999999996</v>
      </c>
      <c r="I24" t="s">
        <v>19</v>
      </c>
      <c r="J24" t="s">
        <v>545</v>
      </c>
      <c r="K24">
        <v>39</v>
      </c>
      <c r="L24">
        <v>1463.3000000000002</v>
      </c>
    </row>
    <row r="25" spans="1:12" x14ac:dyDescent="0.3">
      <c r="A25" s="4" t="s">
        <v>545</v>
      </c>
      <c r="B25">
        <v>39</v>
      </c>
      <c r="C25">
        <v>1463.3000000000002</v>
      </c>
      <c r="I25" t="s">
        <v>19</v>
      </c>
      <c r="J25" t="s">
        <v>416</v>
      </c>
      <c r="K25">
        <v>6</v>
      </c>
      <c r="L25">
        <v>445.79999999999995</v>
      </c>
    </row>
    <row r="26" spans="1:12" x14ac:dyDescent="0.3">
      <c r="A26" s="4" t="s">
        <v>416</v>
      </c>
      <c r="B26">
        <v>6</v>
      </c>
      <c r="C26">
        <v>445.79999999999995</v>
      </c>
      <c r="I26" t="s">
        <v>19</v>
      </c>
      <c r="J26" t="s">
        <v>258</v>
      </c>
      <c r="K26">
        <v>9</v>
      </c>
      <c r="L26">
        <v>273.59999999999997</v>
      </c>
    </row>
    <row r="27" spans="1:12" x14ac:dyDescent="0.3">
      <c r="A27" s="4" t="s">
        <v>258</v>
      </c>
      <c r="B27">
        <v>9</v>
      </c>
      <c r="C27">
        <v>273.59999999999997</v>
      </c>
      <c r="I27" t="s">
        <v>19</v>
      </c>
      <c r="J27" t="s">
        <v>186</v>
      </c>
      <c r="K27">
        <v>60</v>
      </c>
      <c r="L27">
        <v>2690.4</v>
      </c>
    </row>
    <row r="28" spans="1:12" x14ac:dyDescent="0.3">
      <c r="A28" s="4" t="s">
        <v>186</v>
      </c>
      <c r="B28">
        <v>60</v>
      </c>
      <c r="C28">
        <v>2690.4</v>
      </c>
      <c r="I28" t="s">
        <v>19</v>
      </c>
      <c r="J28" t="s">
        <v>392</v>
      </c>
      <c r="K28">
        <v>2</v>
      </c>
      <c r="L28">
        <v>28.4</v>
      </c>
    </row>
    <row r="29" spans="1:12" x14ac:dyDescent="0.3">
      <c r="A29" s="4" t="s">
        <v>392</v>
      </c>
      <c r="B29">
        <v>2</v>
      </c>
      <c r="C29">
        <v>28.4</v>
      </c>
      <c r="I29" t="s">
        <v>19</v>
      </c>
      <c r="J29" t="s">
        <v>670</v>
      </c>
      <c r="K29">
        <v>4</v>
      </c>
      <c r="L29">
        <v>204.8</v>
      </c>
    </row>
    <row r="30" spans="1:12" x14ac:dyDescent="0.3">
      <c r="A30" s="4" t="s">
        <v>670</v>
      </c>
      <c r="B30">
        <v>4</v>
      </c>
      <c r="C30">
        <v>204.8</v>
      </c>
      <c r="I30" t="s">
        <v>19</v>
      </c>
      <c r="J30" t="s">
        <v>802</v>
      </c>
      <c r="K30">
        <v>31</v>
      </c>
      <c r="L30">
        <v>1607.8999999999999</v>
      </c>
    </row>
    <row r="31" spans="1:12" x14ac:dyDescent="0.3">
      <c r="A31" s="4" t="s">
        <v>802</v>
      </c>
      <c r="B31">
        <v>31</v>
      </c>
      <c r="C31">
        <v>1607.8999999999999</v>
      </c>
      <c r="I31" t="s">
        <v>19</v>
      </c>
      <c r="J31" t="s">
        <v>98</v>
      </c>
      <c r="K31">
        <v>88</v>
      </c>
      <c r="L31">
        <v>6444.9</v>
      </c>
    </row>
    <row r="32" spans="1:12" x14ac:dyDescent="0.3">
      <c r="A32" s="4" t="s">
        <v>98</v>
      </c>
      <c r="B32">
        <v>88</v>
      </c>
      <c r="C32">
        <v>6444.9</v>
      </c>
      <c r="I32" t="s">
        <v>19</v>
      </c>
      <c r="J32" t="s">
        <v>49</v>
      </c>
      <c r="K32">
        <v>25</v>
      </c>
      <c r="L32">
        <v>1809.3</v>
      </c>
    </row>
    <row r="33" spans="1:12" x14ac:dyDescent="0.3">
      <c r="A33" s="4" t="s">
        <v>49</v>
      </c>
      <c r="B33">
        <v>25</v>
      </c>
      <c r="C33">
        <v>1809.3</v>
      </c>
      <c r="I33" t="s">
        <v>19</v>
      </c>
      <c r="J33" t="s">
        <v>188</v>
      </c>
      <c r="K33">
        <v>178</v>
      </c>
      <c r="L33">
        <v>9680.399999999996</v>
      </c>
    </row>
    <row r="34" spans="1:12" x14ac:dyDescent="0.3">
      <c r="A34" s="4" t="s">
        <v>188</v>
      </c>
      <c r="B34">
        <v>178</v>
      </c>
      <c r="C34">
        <v>9680.399999999996</v>
      </c>
      <c r="I34" t="s">
        <v>19</v>
      </c>
      <c r="J34" t="s">
        <v>52</v>
      </c>
      <c r="K34">
        <v>141</v>
      </c>
      <c r="L34">
        <v>9414.7999999999993</v>
      </c>
    </row>
    <row r="35" spans="1:12" x14ac:dyDescent="0.3">
      <c r="A35" s="4" t="s">
        <v>52</v>
      </c>
      <c r="B35">
        <v>141</v>
      </c>
      <c r="C35">
        <v>9414.7999999999993</v>
      </c>
      <c r="I35" t="s">
        <v>19</v>
      </c>
      <c r="J35" t="s">
        <v>338</v>
      </c>
      <c r="K35">
        <v>6</v>
      </c>
      <c r="L35">
        <v>206.1</v>
      </c>
    </row>
    <row r="36" spans="1:12" x14ac:dyDescent="0.3">
      <c r="A36" s="4" t="s">
        <v>338</v>
      </c>
      <c r="B36">
        <v>6</v>
      </c>
      <c r="C36">
        <v>206.1</v>
      </c>
      <c r="I36" t="s">
        <v>19</v>
      </c>
      <c r="J36" t="s">
        <v>158</v>
      </c>
      <c r="K36">
        <v>178</v>
      </c>
      <c r="L36">
        <v>7691.3</v>
      </c>
    </row>
    <row r="37" spans="1:12" x14ac:dyDescent="0.3">
      <c r="A37" s="4" t="s">
        <v>158</v>
      </c>
      <c r="B37">
        <v>178</v>
      </c>
      <c r="C37">
        <v>7691.3</v>
      </c>
      <c r="I37" t="s">
        <v>19</v>
      </c>
      <c r="J37" t="s">
        <v>55</v>
      </c>
      <c r="K37">
        <v>699</v>
      </c>
      <c r="L37">
        <v>37784.900000000016</v>
      </c>
    </row>
    <row r="38" spans="1:12" x14ac:dyDescent="0.3">
      <c r="A38" s="4" t="s">
        <v>55</v>
      </c>
      <c r="B38">
        <v>699</v>
      </c>
      <c r="C38">
        <v>37784.900000000016</v>
      </c>
      <c r="I38" t="s">
        <v>19</v>
      </c>
      <c r="J38" t="s">
        <v>342</v>
      </c>
      <c r="K38">
        <v>23</v>
      </c>
      <c r="L38">
        <v>1129.7</v>
      </c>
    </row>
    <row r="39" spans="1:12" x14ac:dyDescent="0.3">
      <c r="A39" s="4" t="s">
        <v>342</v>
      </c>
      <c r="B39">
        <v>23</v>
      </c>
      <c r="C39">
        <v>1129.7</v>
      </c>
      <c r="I39" t="s">
        <v>19</v>
      </c>
      <c r="J39" t="s">
        <v>59</v>
      </c>
      <c r="K39">
        <v>356</v>
      </c>
      <c r="L39">
        <v>20988.9</v>
      </c>
    </row>
    <row r="40" spans="1:12" x14ac:dyDescent="0.3">
      <c r="A40" s="4" t="s">
        <v>59</v>
      </c>
      <c r="B40">
        <v>356</v>
      </c>
      <c r="C40">
        <v>20988.9</v>
      </c>
      <c r="I40" t="s">
        <v>19</v>
      </c>
      <c r="J40" t="s">
        <v>62</v>
      </c>
      <c r="K40">
        <v>1768</v>
      </c>
      <c r="L40">
        <v>98367.099999999977</v>
      </c>
    </row>
    <row r="41" spans="1:12" x14ac:dyDescent="0.3">
      <c r="A41" s="4" t="s">
        <v>62</v>
      </c>
      <c r="B41">
        <v>1768</v>
      </c>
      <c r="C41">
        <v>98367.099999999977</v>
      </c>
      <c r="I41" t="s">
        <v>19</v>
      </c>
      <c r="J41" t="s">
        <v>103</v>
      </c>
      <c r="K41">
        <v>307</v>
      </c>
      <c r="L41">
        <v>21911.9</v>
      </c>
    </row>
    <row r="42" spans="1:12" x14ac:dyDescent="0.3">
      <c r="A42" s="4" t="s">
        <v>103</v>
      </c>
      <c r="B42">
        <v>307</v>
      </c>
      <c r="C42">
        <v>21911.9</v>
      </c>
      <c r="I42" t="s">
        <v>19</v>
      </c>
      <c r="J42" t="s">
        <v>201</v>
      </c>
      <c r="K42">
        <v>117</v>
      </c>
      <c r="L42">
        <v>5441.2</v>
      </c>
    </row>
    <row r="43" spans="1:12" x14ac:dyDescent="0.3">
      <c r="A43" s="4" t="s">
        <v>201</v>
      </c>
      <c r="B43">
        <v>117</v>
      </c>
      <c r="C43">
        <v>5441.2</v>
      </c>
      <c r="I43" t="s">
        <v>19</v>
      </c>
      <c r="J43" t="s">
        <v>429</v>
      </c>
      <c r="K43">
        <v>13</v>
      </c>
      <c r="L43">
        <v>392.8</v>
      </c>
    </row>
    <row r="44" spans="1:12" x14ac:dyDescent="0.3">
      <c r="A44" s="4" t="s">
        <v>429</v>
      </c>
      <c r="B44">
        <v>13</v>
      </c>
      <c r="C44">
        <v>392.8</v>
      </c>
      <c r="I44" t="s">
        <v>19</v>
      </c>
      <c r="J44" t="s">
        <v>72</v>
      </c>
      <c r="K44">
        <v>364</v>
      </c>
      <c r="L44">
        <v>16172.000000000005</v>
      </c>
    </row>
    <row r="45" spans="1:12" x14ac:dyDescent="0.3">
      <c r="A45" s="4" t="s">
        <v>72</v>
      </c>
      <c r="B45">
        <v>364</v>
      </c>
      <c r="C45">
        <v>16172.000000000005</v>
      </c>
      <c r="I45" t="s">
        <v>19</v>
      </c>
      <c r="J45" t="s">
        <v>74</v>
      </c>
      <c r="K45">
        <v>95</v>
      </c>
      <c r="L45">
        <v>4334.9999999999991</v>
      </c>
    </row>
    <row r="46" spans="1:12" x14ac:dyDescent="0.3">
      <c r="A46" s="4" t="s">
        <v>74</v>
      </c>
      <c r="B46">
        <v>95</v>
      </c>
      <c r="C46">
        <v>4334.9999999999991</v>
      </c>
      <c r="I46" t="s">
        <v>19</v>
      </c>
      <c r="J46" t="s">
        <v>77</v>
      </c>
      <c r="K46">
        <v>737</v>
      </c>
      <c r="L46">
        <v>37449.000000000007</v>
      </c>
    </row>
    <row r="47" spans="1:12" x14ac:dyDescent="0.3">
      <c r="A47" s="4" t="s">
        <v>77</v>
      </c>
      <c r="B47">
        <v>737</v>
      </c>
      <c r="C47">
        <v>37449.000000000007</v>
      </c>
      <c r="I47" t="s">
        <v>19</v>
      </c>
      <c r="J47" t="s">
        <v>309</v>
      </c>
      <c r="K47">
        <v>39</v>
      </c>
      <c r="L47">
        <v>2447.5</v>
      </c>
    </row>
    <row r="48" spans="1:12" x14ac:dyDescent="0.3">
      <c r="A48" s="4" t="s">
        <v>309</v>
      </c>
      <c r="B48">
        <v>39</v>
      </c>
      <c r="C48">
        <v>2447.5</v>
      </c>
      <c r="I48" t="s">
        <v>19</v>
      </c>
      <c r="J48" t="s">
        <v>1116</v>
      </c>
      <c r="K48">
        <v>56</v>
      </c>
      <c r="L48">
        <v>3391.1</v>
      </c>
    </row>
    <row r="49" spans="1:12" x14ac:dyDescent="0.3">
      <c r="A49" s="4" t="s">
        <v>1116</v>
      </c>
      <c r="B49">
        <v>56</v>
      </c>
      <c r="C49">
        <v>3391.1</v>
      </c>
      <c r="I49" t="s">
        <v>19</v>
      </c>
      <c r="J49" t="s">
        <v>700</v>
      </c>
      <c r="K49">
        <v>2</v>
      </c>
      <c r="L49">
        <v>30.8</v>
      </c>
    </row>
    <row r="50" spans="1:12" x14ac:dyDescent="0.3">
      <c r="A50" s="4" t="s">
        <v>700</v>
      </c>
      <c r="B50">
        <v>2</v>
      </c>
      <c r="C50">
        <v>30.8</v>
      </c>
      <c r="I50" t="s">
        <v>19</v>
      </c>
      <c r="J50" t="s">
        <v>268</v>
      </c>
      <c r="K50">
        <v>8</v>
      </c>
      <c r="L50">
        <v>332.3</v>
      </c>
    </row>
    <row r="51" spans="1:12" x14ac:dyDescent="0.3">
      <c r="A51" s="4" t="s">
        <v>268</v>
      </c>
      <c r="B51">
        <v>8</v>
      </c>
      <c r="C51">
        <v>332.3</v>
      </c>
      <c r="I51" t="s">
        <v>19</v>
      </c>
      <c r="J51" t="s">
        <v>377</v>
      </c>
      <c r="K51">
        <v>52</v>
      </c>
      <c r="L51">
        <v>3175.9999999999995</v>
      </c>
    </row>
    <row r="52" spans="1:12" x14ac:dyDescent="0.3">
      <c r="A52" s="4" t="s">
        <v>377</v>
      </c>
      <c r="B52">
        <v>52</v>
      </c>
      <c r="C52">
        <v>3175.9999999999995</v>
      </c>
      <c r="I52" t="s">
        <v>19</v>
      </c>
      <c r="J52" t="s">
        <v>108</v>
      </c>
      <c r="K52">
        <v>295</v>
      </c>
      <c r="L52">
        <v>20939.600000000002</v>
      </c>
    </row>
    <row r="53" spans="1:12" x14ac:dyDescent="0.3">
      <c r="A53" s="4" t="s">
        <v>108</v>
      </c>
      <c r="B53">
        <v>295</v>
      </c>
      <c r="C53">
        <v>20939.600000000002</v>
      </c>
      <c r="I53" t="s">
        <v>19</v>
      </c>
      <c r="J53" t="s">
        <v>110</v>
      </c>
      <c r="K53">
        <v>195</v>
      </c>
      <c r="L53">
        <v>10185.899999999996</v>
      </c>
    </row>
    <row r="54" spans="1:12" x14ac:dyDescent="0.3">
      <c r="A54" s="4" t="s">
        <v>110</v>
      </c>
      <c r="B54">
        <v>195</v>
      </c>
      <c r="C54">
        <v>10185.899999999996</v>
      </c>
      <c r="I54" t="s">
        <v>19</v>
      </c>
      <c r="J54" t="s">
        <v>292</v>
      </c>
      <c r="K54">
        <v>20</v>
      </c>
      <c r="L54">
        <v>958.7</v>
      </c>
    </row>
    <row r="55" spans="1:12" x14ac:dyDescent="0.3">
      <c r="A55" s="4" t="s">
        <v>292</v>
      </c>
      <c r="B55">
        <v>20</v>
      </c>
      <c r="C55">
        <v>958.7</v>
      </c>
      <c r="I55" t="s">
        <v>19</v>
      </c>
      <c r="J55" t="s">
        <v>79</v>
      </c>
      <c r="K55">
        <v>6</v>
      </c>
      <c r="L55">
        <v>323</v>
      </c>
    </row>
    <row r="56" spans="1:12" x14ac:dyDescent="0.3">
      <c r="A56" s="4" t="s">
        <v>79</v>
      </c>
      <c r="B56">
        <v>6</v>
      </c>
      <c r="C56">
        <v>323</v>
      </c>
      <c r="I56" t="s">
        <v>19</v>
      </c>
      <c r="J56" t="s">
        <v>608</v>
      </c>
      <c r="K56">
        <v>5</v>
      </c>
      <c r="L56">
        <v>167.70000000000002</v>
      </c>
    </row>
    <row r="57" spans="1:12" x14ac:dyDescent="0.3">
      <c r="A57" s="4" t="s">
        <v>608</v>
      </c>
      <c r="B57">
        <v>5</v>
      </c>
      <c r="C57">
        <v>167.70000000000002</v>
      </c>
      <c r="I57" t="s">
        <v>19</v>
      </c>
      <c r="J57" t="s">
        <v>113</v>
      </c>
      <c r="K57">
        <v>94</v>
      </c>
      <c r="L57">
        <v>3978.5</v>
      </c>
    </row>
    <row r="58" spans="1:12" x14ac:dyDescent="0.3">
      <c r="A58" s="4" t="s">
        <v>113</v>
      </c>
      <c r="B58">
        <v>94</v>
      </c>
      <c r="C58">
        <v>3978.5</v>
      </c>
      <c r="I58" t="s">
        <v>19</v>
      </c>
      <c r="J58" t="s">
        <v>997</v>
      </c>
      <c r="K58">
        <v>28</v>
      </c>
      <c r="L58">
        <v>1405</v>
      </c>
    </row>
    <row r="59" spans="1:12" x14ac:dyDescent="0.3">
      <c r="A59" s="4" t="s">
        <v>997</v>
      </c>
      <c r="B59">
        <v>28</v>
      </c>
      <c r="C59">
        <v>1405</v>
      </c>
      <c r="I59" t="s">
        <v>19</v>
      </c>
      <c r="J59" t="s">
        <v>82</v>
      </c>
      <c r="K59">
        <v>179</v>
      </c>
      <c r="L59">
        <v>9869.0999999999985</v>
      </c>
    </row>
    <row r="60" spans="1:12" x14ac:dyDescent="0.3">
      <c r="A60" s="4" t="s">
        <v>82</v>
      </c>
      <c r="B60">
        <v>179</v>
      </c>
      <c r="C60">
        <v>9869.0999999999985</v>
      </c>
      <c r="I60" t="s">
        <v>19</v>
      </c>
      <c r="J60" t="s">
        <v>243</v>
      </c>
      <c r="K60">
        <v>15</v>
      </c>
      <c r="L60">
        <v>615.29999999999995</v>
      </c>
    </row>
    <row r="61" spans="1:12" x14ac:dyDescent="0.3">
      <c r="A61" s="4" t="s">
        <v>243</v>
      </c>
      <c r="B61">
        <v>15</v>
      </c>
      <c r="C61">
        <v>615.29999999999995</v>
      </c>
      <c r="I61" t="s">
        <v>19</v>
      </c>
      <c r="J61" t="s">
        <v>1911</v>
      </c>
      <c r="K61">
        <v>3</v>
      </c>
      <c r="L61">
        <v>285</v>
      </c>
    </row>
    <row r="62" spans="1:12" x14ac:dyDescent="0.3">
      <c r="A62" s="4" t="s">
        <v>1911</v>
      </c>
      <c r="B62">
        <v>3</v>
      </c>
      <c r="C62">
        <v>285</v>
      </c>
      <c r="I62" t="s">
        <v>2572</v>
      </c>
      <c r="K62">
        <v>11997</v>
      </c>
      <c r="L62">
        <v>649019.79999999981</v>
      </c>
    </row>
    <row r="63" spans="1:12" x14ac:dyDescent="0.3">
      <c r="A63" s="23" t="s">
        <v>2564</v>
      </c>
      <c r="B63">
        <v>11997</v>
      </c>
      <c r="C63">
        <v>649019.79999999981</v>
      </c>
      <c r="I63" t="s">
        <v>2564</v>
      </c>
      <c r="K63">
        <v>11997</v>
      </c>
      <c r="L63">
        <v>649019.79999999981</v>
      </c>
    </row>
    <row r="66" spans="1:8" x14ac:dyDescent="0.3">
      <c r="A66" s="21" t="s">
        <v>10</v>
      </c>
      <c r="B66" s="21" t="s">
        <v>11</v>
      </c>
      <c r="C66" s="21" t="s">
        <v>2553</v>
      </c>
      <c r="F66" s="21" t="s">
        <v>10</v>
      </c>
      <c r="G66" s="21" t="s">
        <v>11</v>
      </c>
      <c r="H66" s="21" t="s">
        <v>2554</v>
      </c>
    </row>
    <row r="67" spans="1:8" x14ac:dyDescent="0.3">
      <c r="A67" s="35" t="s">
        <v>19</v>
      </c>
      <c r="B67" t="s">
        <v>115</v>
      </c>
      <c r="C67">
        <v>579</v>
      </c>
      <c r="F67" s="35" t="s">
        <v>19</v>
      </c>
      <c r="G67" t="s">
        <v>115</v>
      </c>
      <c r="H67">
        <v>31884.999999999996</v>
      </c>
    </row>
    <row r="68" spans="1:8" x14ac:dyDescent="0.3">
      <c r="A68" s="35" t="s">
        <v>19</v>
      </c>
      <c r="B68" t="s">
        <v>20</v>
      </c>
      <c r="C68">
        <v>1</v>
      </c>
      <c r="F68" s="35" t="s">
        <v>19</v>
      </c>
      <c r="G68" t="s">
        <v>20</v>
      </c>
      <c r="H68">
        <v>10.9</v>
      </c>
    </row>
    <row r="69" spans="1:8" x14ac:dyDescent="0.3">
      <c r="A69" s="35" t="s">
        <v>19</v>
      </c>
      <c r="B69" t="s">
        <v>641</v>
      </c>
      <c r="C69">
        <v>9</v>
      </c>
      <c r="F69" s="35" t="s">
        <v>19</v>
      </c>
      <c r="G69" t="s">
        <v>641</v>
      </c>
      <c r="H69">
        <v>800.3</v>
      </c>
    </row>
    <row r="70" spans="1:8" x14ac:dyDescent="0.3">
      <c r="A70" s="35" t="s">
        <v>19</v>
      </c>
      <c r="B70" t="s">
        <v>967</v>
      </c>
      <c r="C70">
        <v>35</v>
      </c>
      <c r="F70" s="35" t="s">
        <v>19</v>
      </c>
      <c r="G70" t="s">
        <v>967</v>
      </c>
      <c r="H70">
        <v>1062.5999999999999</v>
      </c>
    </row>
    <row r="71" spans="1:8" x14ac:dyDescent="0.3">
      <c r="A71" s="35" t="s">
        <v>19</v>
      </c>
      <c r="B71" t="s">
        <v>84</v>
      </c>
      <c r="C71">
        <v>12</v>
      </c>
      <c r="F71" s="35" t="s">
        <v>19</v>
      </c>
      <c r="G71" t="s">
        <v>84</v>
      </c>
      <c r="H71">
        <v>326.20000000000005</v>
      </c>
    </row>
    <row r="72" spans="1:8" x14ac:dyDescent="0.3">
      <c r="A72" s="35" t="s">
        <v>19</v>
      </c>
      <c r="B72" t="s">
        <v>1383</v>
      </c>
      <c r="C72">
        <v>4</v>
      </c>
      <c r="F72" s="35" t="s">
        <v>19</v>
      </c>
      <c r="G72" t="s">
        <v>1383</v>
      </c>
      <c r="H72">
        <v>167.5</v>
      </c>
    </row>
    <row r="73" spans="1:8" x14ac:dyDescent="0.3">
      <c r="A73" s="35" t="s">
        <v>19</v>
      </c>
      <c r="B73" t="s">
        <v>24</v>
      </c>
      <c r="C73">
        <v>341</v>
      </c>
      <c r="F73" s="35" t="s">
        <v>19</v>
      </c>
      <c r="G73" t="s">
        <v>24</v>
      </c>
      <c r="H73">
        <v>16168.7</v>
      </c>
    </row>
    <row r="74" spans="1:8" x14ac:dyDescent="0.3">
      <c r="A74" s="35" t="s">
        <v>19</v>
      </c>
      <c r="B74" t="s">
        <v>2204</v>
      </c>
      <c r="C74">
        <v>13</v>
      </c>
      <c r="F74" s="35" t="s">
        <v>19</v>
      </c>
      <c r="G74" t="s">
        <v>2204</v>
      </c>
      <c r="H74">
        <v>322.40000000000003</v>
      </c>
    </row>
    <row r="75" spans="1:8" x14ac:dyDescent="0.3">
      <c r="A75" s="35" t="s">
        <v>19</v>
      </c>
      <c r="B75" t="s">
        <v>437</v>
      </c>
      <c r="C75">
        <v>31</v>
      </c>
      <c r="F75" s="35" t="s">
        <v>19</v>
      </c>
      <c r="G75" t="s">
        <v>437</v>
      </c>
      <c r="H75">
        <v>2092.8000000000002</v>
      </c>
    </row>
    <row r="76" spans="1:8" x14ac:dyDescent="0.3">
      <c r="A76" s="35" t="s">
        <v>19</v>
      </c>
      <c r="B76" t="s">
        <v>28</v>
      </c>
      <c r="C76">
        <v>279</v>
      </c>
      <c r="F76" s="35" t="s">
        <v>19</v>
      </c>
      <c r="G76" t="s">
        <v>28</v>
      </c>
      <c r="H76">
        <v>12662.500000000002</v>
      </c>
    </row>
    <row r="77" spans="1:8" x14ac:dyDescent="0.3">
      <c r="A77" s="35" t="s">
        <v>19</v>
      </c>
      <c r="B77" t="s">
        <v>208</v>
      </c>
      <c r="C77">
        <v>9</v>
      </c>
      <c r="F77" s="35" t="s">
        <v>19</v>
      </c>
      <c r="G77" t="s">
        <v>208</v>
      </c>
      <c r="H77">
        <v>343.2</v>
      </c>
    </row>
    <row r="78" spans="1:8" x14ac:dyDescent="0.3">
      <c r="A78" s="35" t="s">
        <v>19</v>
      </c>
      <c r="B78" t="s">
        <v>587</v>
      </c>
      <c r="C78">
        <v>49</v>
      </c>
      <c r="F78" s="35" t="s">
        <v>19</v>
      </c>
      <c r="G78" t="s">
        <v>587</v>
      </c>
      <c r="H78">
        <v>2188.2999999999997</v>
      </c>
    </row>
    <row r="79" spans="1:8" x14ac:dyDescent="0.3">
      <c r="A79" s="35" t="s">
        <v>19</v>
      </c>
      <c r="B79" t="s">
        <v>331</v>
      </c>
      <c r="C79">
        <v>59</v>
      </c>
      <c r="F79" s="35" t="s">
        <v>19</v>
      </c>
      <c r="G79" t="s">
        <v>331</v>
      </c>
      <c r="H79">
        <v>2661.5999999999995</v>
      </c>
    </row>
    <row r="80" spans="1:8" x14ac:dyDescent="0.3">
      <c r="A80" s="35" t="s">
        <v>19</v>
      </c>
      <c r="B80" t="s">
        <v>86</v>
      </c>
      <c r="C80">
        <v>8</v>
      </c>
      <c r="F80" s="35" t="s">
        <v>19</v>
      </c>
      <c r="G80" t="s">
        <v>86</v>
      </c>
      <c r="H80">
        <v>887.5</v>
      </c>
    </row>
    <row r="81" spans="1:8" x14ac:dyDescent="0.3">
      <c r="A81" s="35" t="s">
        <v>19</v>
      </c>
      <c r="B81" t="s">
        <v>147</v>
      </c>
      <c r="C81">
        <v>222</v>
      </c>
      <c r="F81" s="35" t="s">
        <v>19</v>
      </c>
      <c r="G81" t="s">
        <v>147</v>
      </c>
      <c r="H81">
        <v>11354.199999999993</v>
      </c>
    </row>
    <row r="82" spans="1:8" x14ac:dyDescent="0.3">
      <c r="A82" s="35" t="s">
        <v>19</v>
      </c>
      <c r="B82" t="s">
        <v>334</v>
      </c>
      <c r="C82">
        <v>36</v>
      </c>
      <c r="F82" s="35" t="s">
        <v>19</v>
      </c>
      <c r="G82" t="s">
        <v>334</v>
      </c>
      <c r="H82">
        <v>1558.4</v>
      </c>
    </row>
    <row r="83" spans="1:8" x14ac:dyDescent="0.3">
      <c r="A83" s="35" t="s">
        <v>19</v>
      </c>
      <c r="B83" t="s">
        <v>949</v>
      </c>
      <c r="C83">
        <v>30</v>
      </c>
      <c r="F83" s="35" t="s">
        <v>19</v>
      </c>
      <c r="G83" t="s">
        <v>949</v>
      </c>
      <c r="H83">
        <v>2223.9</v>
      </c>
    </row>
    <row r="84" spans="1:8" x14ac:dyDescent="0.3">
      <c r="A84" s="35" t="s">
        <v>19</v>
      </c>
      <c r="B84" t="s">
        <v>1426</v>
      </c>
      <c r="C84">
        <v>1</v>
      </c>
      <c r="F84" s="35" t="s">
        <v>19</v>
      </c>
      <c r="G84" t="s">
        <v>1426</v>
      </c>
      <c r="H84">
        <v>26.2</v>
      </c>
    </row>
    <row r="85" spans="1:8" x14ac:dyDescent="0.3">
      <c r="A85" s="35" t="s">
        <v>19</v>
      </c>
      <c r="B85" t="s">
        <v>33</v>
      </c>
      <c r="C85">
        <v>3991</v>
      </c>
      <c r="F85" s="35" t="s">
        <v>19</v>
      </c>
      <c r="G85" t="s">
        <v>33</v>
      </c>
      <c r="H85">
        <v>215551.19999999981</v>
      </c>
    </row>
    <row r="86" spans="1:8" x14ac:dyDescent="0.3">
      <c r="A86" s="35" t="s">
        <v>19</v>
      </c>
      <c r="B86" t="s">
        <v>364</v>
      </c>
      <c r="C86">
        <v>45</v>
      </c>
      <c r="F86" s="35" t="s">
        <v>19</v>
      </c>
      <c r="G86" t="s">
        <v>364</v>
      </c>
      <c r="H86">
        <v>2687.3999999999996</v>
      </c>
    </row>
    <row r="87" spans="1:8" x14ac:dyDescent="0.3">
      <c r="A87" s="35" t="s">
        <v>19</v>
      </c>
      <c r="B87" t="s">
        <v>545</v>
      </c>
      <c r="C87">
        <v>39</v>
      </c>
      <c r="F87" s="35" t="s">
        <v>19</v>
      </c>
      <c r="G87" t="s">
        <v>545</v>
      </c>
      <c r="H87">
        <v>1463.3000000000002</v>
      </c>
    </row>
    <row r="88" spans="1:8" x14ac:dyDescent="0.3">
      <c r="A88" s="35" t="s">
        <v>19</v>
      </c>
      <c r="B88" t="s">
        <v>416</v>
      </c>
      <c r="C88">
        <v>6</v>
      </c>
      <c r="F88" s="35" t="s">
        <v>19</v>
      </c>
      <c r="G88" t="s">
        <v>416</v>
      </c>
      <c r="H88">
        <v>445.79999999999995</v>
      </c>
    </row>
    <row r="89" spans="1:8" x14ac:dyDescent="0.3">
      <c r="A89" s="35" t="s">
        <v>19</v>
      </c>
      <c r="B89" t="s">
        <v>258</v>
      </c>
      <c r="C89">
        <v>9</v>
      </c>
      <c r="F89" s="35" t="s">
        <v>19</v>
      </c>
      <c r="G89" t="s">
        <v>258</v>
      </c>
      <c r="H89">
        <v>273.59999999999997</v>
      </c>
    </row>
    <row r="90" spans="1:8" x14ac:dyDescent="0.3">
      <c r="A90" s="35" t="s">
        <v>19</v>
      </c>
      <c r="B90" t="s">
        <v>186</v>
      </c>
      <c r="C90">
        <v>60</v>
      </c>
      <c r="F90" s="35" t="s">
        <v>19</v>
      </c>
      <c r="G90" t="s">
        <v>186</v>
      </c>
      <c r="H90">
        <v>2690.4</v>
      </c>
    </row>
    <row r="91" spans="1:8" x14ac:dyDescent="0.3">
      <c r="A91" s="35" t="s">
        <v>19</v>
      </c>
      <c r="B91" t="s">
        <v>392</v>
      </c>
      <c r="C91">
        <v>2</v>
      </c>
      <c r="F91" s="35" t="s">
        <v>19</v>
      </c>
      <c r="G91" t="s">
        <v>392</v>
      </c>
      <c r="H91">
        <v>28.4</v>
      </c>
    </row>
    <row r="92" spans="1:8" x14ac:dyDescent="0.3">
      <c r="A92" s="35" t="s">
        <v>19</v>
      </c>
      <c r="B92" t="s">
        <v>670</v>
      </c>
      <c r="C92">
        <v>4</v>
      </c>
      <c r="F92" s="35" t="s">
        <v>19</v>
      </c>
      <c r="G92" t="s">
        <v>670</v>
      </c>
      <c r="H92">
        <v>204.8</v>
      </c>
    </row>
    <row r="93" spans="1:8" x14ac:dyDescent="0.3">
      <c r="A93" s="35" t="s">
        <v>19</v>
      </c>
      <c r="B93" t="s">
        <v>802</v>
      </c>
      <c r="C93">
        <v>31</v>
      </c>
      <c r="F93" s="35" t="s">
        <v>19</v>
      </c>
      <c r="G93" t="s">
        <v>802</v>
      </c>
      <c r="H93">
        <v>1607.8999999999999</v>
      </c>
    </row>
    <row r="94" spans="1:8" x14ac:dyDescent="0.3">
      <c r="A94" s="35" t="s">
        <v>19</v>
      </c>
      <c r="B94" t="s">
        <v>98</v>
      </c>
      <c r="C94">
        <v>88</v>
      </c>
      <c r="F94" s="35" t="s">
        <v>19</v>
      </c>
      <c r="G94" t="s">
        <v>98</v>
      </c>
      <c r="H94">
        <v>6444.9</v>
      </c>
    </row>
    <row r="95" spans="1:8" x14ac:dyDescent="0.3">
      <c r="A95" s="35" t="s">
        <v>19</v>
      </c>
      <c r="B95" t="s">
        <v>49</v>
      </c>
      <c r="C95">
        <v>25</v>
      </c>
      <c r="F95" s="35" t="s">
        <v>19</v>
      </c>
      <c r="G95" t="s">
        <v>49</v>
      </c>
      <c r="H95">
        <v>1809.3</v>
      </c>
    </row>
    <row r="96" spans="1:8" x14ac:dyDescent="0.3">
      <c r="A96" s="35" t="s">
        <v>19</v>
      </c>
      <c r="B96" t="s">
        <v>188</v>
      </c>
      <c r="C96">
        <v>178</v>
      </c>
      <c r="F96" s="35" t="s">
        <v>19</v>
      </c>
      <c r="G96" t="s">
        <v>188</v>
      </c>
      <c r="H96">
        <v>9680.399999999996</v>
      </c>
    </row>
    <row r="97" spans="1:8" x14ac:dyDescent="0.3">
      <c r="A97" s="35" t="s">
        <v>19</v>
      </c>
      <c r="B97" t="s">
        <v>52</v>
      </c>
      <c r="C97">
        <v>141</v>
      </c>
      <c r="F97" s="35" t="s">
        <v>19</v>
      </c>
      <c r="G97" t="s">
        <v>52</v>
      </c>
      <c r="H97">
        <v>9414.7999999999993</v>
      </c>
    </row>
    <row r="98" spans="1:8" x14ac:dyDescent="0.3">
      <c r="A98" s="35" t="s">
        <v>19</v>
      </c>
      <c r="B98" t="s">
        <v>338</v>
      </c>
      <c r="C98">
        <v>6</v>
      </c>
      <c r="F98" s="35" t="s">
        <v>19</v>
      </c>
      <c r="G98" t="s">
        <v>338</v>
      </c>
      <c r="H98">
        <v>206.1</v>
      </c>
    </row>
    <row r="99" spans="1:8" x14ac:dyDescent="0.3">
      <c r="A99" s="35" t="s">
        <v>19</v>
      </c>
      <c r="B99" t="s">
        <v>158</v>
      </c>
      <c r="C99">
        <v>178</v>
      </c>
      <c r="F99" s="35" t="s">
        <v>19</v>
      </c>
      <c r="G99" t="s">
        <v>158</v>
      </c>
      <c r="H99">
        <v>7691.3</v>
      </c>
    </row>
    <row r="100" spans="1:8" x14ac:dyDescent="0.3">
      <c r="A100" s="35" t="s">
        <v>19</v>
      </c>
      <c r="B100" t="s">
        <v>55</v>
      </c>
      <c r="C100">
        <v>699</v>
      </c>
      <c r="F100" s="35" t="s">
        <v>19</v>
      </c>
      <c r="G100" t="s">
        <v>55</v>
      </c>
      <c r="H100">
        <v>37784.900000000016</v>
      </c>
    </row>
    <row r="101" spans="1:8" x14ac:dyDescent="0.3">
      <c r="A101" s="35" t="s">
        <v>19</v>
      </c>
      <c r="B101" t="s">
        <v>342</v>
      </c>
      <c r="C101">
        <v>23</v>
      </c>
      <c r="F101" s="35" t="s">
        <v>19</v>
      </c>
      <c r="G101" t="s">
        <v>342</v>
      </c>
      <c r="H101">
        <v>1129.7</v>
      </c>
    </row>
    <row r="102" spans="1:8" x14ac:dyDescent="0.3">
      <c r="A102" s="35" t="s">
        <v>19</v>
      </c>
      <c r="B102" t="s">
        <v>59</v>
      </c>
      <c r="C102">
        <v>356</v>
      </c>
      <c r="F102" s="35" t="s">
        <v>19</v>
      </c>
      <c r="G102" t="s">
        <v>59</v>
      </c>
      <c r="H102">
        <v>20988.9</v>
      </c>
    </row>
    <row r="103" spans="1:8" x14ac:dyDescent="0.3">
      <c r="A103" s="35" t="s">
        <v>19</v>
      </c>
      <c r="B103" t="s">
        <v>62</v>
      </c>
      <c r="C103">
        <v>1768</v>
      </c>
      <c r="F103" s="35" t="s">
        <v>19</v>
      </c>
      <c r="G103" t="s">
        <v>62</v>
      </c>
      <c r="H103">
        <v>98367.099999999977</v>
      </c>
    </row>
    <row r="104" spans="1:8" x14ac:dyDescent="0.3">
      <c r="A104" s="35" t="s">
        <v>19</v>
      </c>
      <c r="B104" t="s">
        <v>103</v>
      </c>
      <c r="C104">
        <v>307</v>
      </c>
      <c r="F104" s="35" t="s">
        <v>19</v>
      </c>
      <c r="G104" t="s">
        <v>103</v>
      </c>
      <c r="H104">
        <v>21911.9</v>
      </c>
    </row>
    <row r="105" spans="1:8" x14ac:dyDescent="0.3">
      <c r="A105" s="35" t="s">
        <v>19</v>
      </c>
      <c r="B105" t="s">
        <v>201</v>
      </c>
      <c r="C105">
        <v>117</v>
      </c>
      <c r="F105" s="35" t="s">
        <v>19</v>
      </c>
      <c r="G105" t="s">
        <v>201</v>
      </c>
      <c r="H105">
        <v>5441.2</v>
      </c>
    </row>
    <row r="106" spans="1:8" x14ac:dyDescent="0.3">
      <c r="A106" s="35" t="s">
        <v>19</v>
      </c>
      <c r="B106" t="s">
        <v>429</v>
      </c>
      <c r="C106">
        <v>13</v>
      </c>
      <c r="F106" s="35" t="s">
        <v>19</v>
      </c>
      <c r="G106" t="s">
        <v>429</v>
      </c>
      <c r="H106">
        <v>392.8</v>
      </c>
    </row>
    <row r="107" spans="1:8" x14ac:dyDescent="0.3">
      <c r="A107" s="35" t="s">
        <v>19</v>
      </c>
      <c r="B107" t="s">
        <v>72</v>
      </c>
      <c r="C107">
        <v>364</v>
      </c>
      <c r="F107" s="35" t="s">
        <v>19</v>
      </c>
      <c r="G107" t="s">
        <v>72</v>
      </c>
      <c r="H107">
        <v>16172.000000000005</v>
      </c>
    </row>
    <row r="108" spans="1:8" x14ac:dyDescent="0.3">
      <c r="A108" s="35" t="s">
        <v>19</v>
      </c>
      <c r="B108" t="s">
        <v>74</v>
      </c>
      <c r="C108">
        <v>95</v>
      </c>
      <c r="F108" s="35" t="s">
        <v>19</v>
      </c>
      <c r="G108" t="s">
        <v>74</v>
      </c>
      <c r="H108">
        <v>4334.9999999999991</v>
      </c>
    </row>
    <row r="109" spans="1:8" x14ac:dyDescent="0.3">
      <c r="A109" s="35" t="s">
        <v>19</v>
      </c>
      <c r="B109" t="s">
        <v>77</v>
      </c>
      <c r="C109">
        <v>737</v>
      </c>
      <c r="F109" s="35" t="s">
        <v>19</v>
      </c>
      <c r="G109" t="s">
        <v>77</v>
      </c>
      <c r="H109">
        <v>37449.000000000007</v>
      </c>
    </row>
    <row r="110" spans="1:8" x14ac:dyDescent="0.3">
      <c r="A110" s="35" t="s">
        <v>19</v>
      </c>
      <c r="B110" t="s">
        <v>309</v>
      </c>
      <c r="C110">
        <v>39</v>
      </c>
      <c r="F110" s="35" t="s">
        <v>19</v>
      </c>
      <c r="G110" t="s">
        <v>309</v>
      </c>
      <c r="H110">
        <v>2447.5</v>
      </c>
    </row>
    <row r="111" spans="1:8" x14ac:dyDescent="0.3">
      <c r="A111" s="35" t="s">
        <v>19</v>
      </c>
      <c r="B111" t="s">
        <v>1116</v>
      </c>
      <c r="C111">
        <v>56</v>
      </c>
      <c r="F111" s="35" t="s">
        <v>19</v>
      </c>
      <c r="G111" t="s">
        <v>1116</v>
      </c>
      <c r="H111">
        <v>3391.1</v>
      </c>
    </row>
    <row r="112" spans="1:8" x14ac:dyDescent="0.3">
      <c r="A112" s="35" t="s">
        <v>19</v>
      </c>
      <c r="B112" t="s">
        <v>700</v>
      </c>
      <c r="C112">
        <v>2</v>
      </c>
      <c r="F112" s="35" t="s">
        <v>19</v>
      </c>
      <c r="G112" t="s">
        <v>700</v>
      </c>
      <c r="H112">
        <v>30.8</v>
      </c>
    </row>
    <row r="113" spans="1:8" x14ac:dyDescent="0.3">
      <c r="A113" s="35" t="s">
        <v>19</v>
      </c>
      <c r="B113" t="s">
        <v>268</v>
      </c>
      <c r="C113">
        <v>8</v>
      </c>
      <c r="F113" s="35" t="s">
        <v>19</v>
      </c>
      <c r="G113" t="s">
        <v>268</v>
      </c>
      <c r="H113">
        <v>332.3</v>
      </c>
    </row>
    <row r="114" spans="1:8" x14ac:dyDescent="0.3">
      <c r="A114" s="35" t="s">
        <v>19</v>
      </c>
      <c r="B114" t="s">
        <v>377</v>
      </c>
      <c r="C114">
        <v>52</v>
      </c>
      <c r="F114" s="35" t="s">
        <v>19</v>
      </c>
      <c r="G114" t="s">
        <v>377</v>
      </c>
      <c r="H114">
        <v>3175.9999999999995</v>
      </c>
    </row>
    <row r="115" spans="1:8" x14ac:dyDescent="0.3">
      <c r="A115" s="35" t="s">
        <v>19</v>
      </c>
      <c r="B115" t="s">
        <v>108</v>
      </c>
      <c r="C115">
        <v>295</v>
      </c>
      <c r="F115" s="35" t="s">
        <v>19</v>
      </c>
      <c r="G115" t="s">
        <v>108</v>
      </c>
      <c r="H115">
        <v>20939.600000000002</v>
      </c>
    </row>
    <row r="116" spans="1:8" x14ac:dyDescent="0.3">
      <c r="A116" s="35" t="s">
        <v>19</v>
      </c>
      <c r="B116" t="s">
        <v>110</v>
      </c>
      <c r="C116">
        <v>195</v>
      </c>
      <c r="F116" s="35" t="s">
        <v>19</v>
      </c>
      <c r="G116" t="s">
        <v>110</v>
      </c>
      <c r="H116">
        <v>10185.899999999996</v>
      </c>
    </row>
    <row r="117" spans="1:8" x14ac:dyDescent="0.3">
      <c r="A117" s="35" t="s">
        <v>19</v>
      </c>
      <c r="B117" t="s">
        <v>292</v>
      </c>
      <c r="C117">
        <v>20</v>
      </c>
      <c r="F117" s="35" t="s">
        <v>19</v>
      </c>
      <c r="G117" t="s">
        <v>292</v>
      </c>
      <c r="H117">
        <v>958.7</v>
      </c>
    </row>
    <row r="118" spans="1:8" x14ac:dyDescent="0.3">
      <c r="A118" s="35" t="s">
        <v>19</v>
      </c>
      <c r="B118" t="s">
        <v>79</v>
      </c>
      <c r="C118">
        <v>6</v>
      </c>
      <c r="F118" s="35" t="s">
        <v>19</v>
      </c>
      <c r="G118" t="s">
        <v>79</v>
      </c>
      <c r="H118">
        <v>323</v>
      </c>
    </row>
    <row r="119" spans="1:8" x14ac:dyDescent="0.3">
      <c r="A119" s="35" t="s">
        <v>19</v>
      </c>
      <c r="B119" t="s">
        <v>608</v>
      </c>
      <c r="C119">
        <v>5</v>
      </c>
      <c r="F119" s="35" t="s">
        <v>19</v>
      </c>
      <c r="G119" t="s">
        <v>608</v>
      </c>
      <c r="H119">
        <v>167.70000000000002</v>
      </c>
    </row>
    <row r="120" spans="1:8" x14ac:dyDescent="0.3">
      <c r="A120" s="35" t="s">
        <v>19</v>
      </c>
      <c r="B120" t="s">
        <v>113</v>
      </c>
      <c r="C120">
        <v>94</v>
      </c>
      <c r="F120" s="35" t="s">
        <v>19</v>
      </c>
      <c r="G120" t="s">
        <v>113</v>
      </c>
      <c r="H120">
        <v>3978.5</v>
      </c>
    </row>
    <row r="121" spans="1:8" x14ac:dyDescent="0.3">
      <c r="A121" s="35" t="s">
        <v>19</v>
      </c>
      <c r="B121" t="s">
        <v>997</v>
      </c>
      <c r="C121">
        <v>28</v>
      </c>
      <c r="F121" s="35" t="s">
        <v>19</v>
      </c>
      <c r="G121" t="s">
        <v>997</v>
      </c>
      <c r="H121">
        <v>1405</v>
      </c>
    </row>
    <row r="122" spans="1:8" x14ac:dyDescent="0.3">
      <c r="A122" s="35" t="s">
        <v>19</v>
      </c>
      <c r="B122" t="s">
        <v>82</v>
      </c>
      <c r="C122">
        <v>179</v>
      </c>
      <c r="F122" s="35" t="s">
        <v>19</v>
      </c>
      <c r="G122" t="s">
        <v>82</v>
      </c>
      <c r="H122">
        <v>9869.0999999999985</v>
      </c>
    </row>
    <row r="123" spans="1:8" x14ac:dyDescent="0.3">
      <c r="A123" s="35" t="s">
        <v>19</v>
      </c>
      <c r="B123" t="s">
        <v>243</v>
      </c>
      <c r="C123">
        <v>15</v>
      </c>
      <c r="F123" s="35" t="s">
        <v>19</v>
      </c>
      <c r="G123" t="s">
        <v>243</v>
      </c>
      <c r="H123">
        <v>615.29999999999995</v>
      </c>
    </row>
    <row r="124" spans="1:8" x14ac:dyDescent="0.3">
      <c r="A124" s="36" t="s">
        <v>19</v>
      </c>
      <c r="B124" t="s">
        <v>1911</v>
      </c>
      <c r="C124">
        <v>3</v>
      </c>
      <c r="F124" s="36" t="s">
        <v>19</v>
      </c>
      <c r="G124" t="s">
        <v>1911</v>
      </c>
      <c r="H124">
        <v>285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806C6-C250-48CC-9C1C-C04180DB92A9}">
  <dimension ref="A3:B19"/>
  <sheetViews>
    <sheetView workbookViewId="0">
      <selection activeCell="B3" sqref="B3"/>
    </sheetView>
  </sheetViews>
  <sheetFormatPr defaultRowHeight="14.4" x14ac:dyDescent="0.3"/>
  <cols>
    <col min="1" max="1" width="12.44140625" bestFit="1" customWidth="1"/>
    <col min="2" max="2" width="12.21875" bestFit="1" customWidth="1"/>
  </cols>
  <sheetData>
    <row r="3" spans="1:2" x14ac:dyDescent="0.3">
      <c r="A3" s="22" t="s">
        <v>2563</v>
      </c>
      <c r="B3" t="s">
        <v>2552</v>
      </c>
    </row>
    <row r="4" spans="1:2" x14ac:dyDescent="0.3">
      <c r="A4" s="23">
        <v>0</v>
      </c>
      <c r="B4">
        <v>175</v>
      </c>
    </row>
    <row r="5" spans="1:2" x14ac:dyDescent="0.3">
      <c r="A5" s="23">
        <v>1</v>
      </c>
      <c r="B5">
        <v>888</v>
      </c>
    </row>
    <row r="6" spans="1:2" x14ac:dyDescent="0.3">
      <c r="A6" s="23">
        <v>2</v>
      </c>
      <c r="B6">
        <v>538</v>
      </c>
    </row>
    <row r="7" spans="1:2" x14ac:dyDescent="0.3">
      <c r="A7" s="23">
        <v>3</v>
      </c>
      <c r="B7">
        <v>344</v>
      </c>
    </row>
    <row r="8" spans="1:2" x14ac:dyDescent="0.3">
      <c r="A8" s="23">
        <v>4</v>
      </c>
      <c r="B8">
        <v>200</v>
      </c>
    </row>
    <row r="9" spans="1:2" x14ac:dyDescent="0.3">
      <c r="A9" s="23">
        <v>5</v>
      </c>
      <c r="B9">
        <v>94</v>
      </c>
    </row>
    <row r="10" spans="1:2" x14ac:dyDescent="0.3">
      <c r="A10" s="23">
        <v>6</v>
      </c>
      <c r="B10">
        <v>51</v>
      </c>
    </row>
    <row r="11" spans="1:2" x14ac:dyDescent="0.3">
      <c r="A11" s="23">
        <v>7</v>
      </c>
      <c r="B11">
        <v>32</v>
      </c>
    </row>
    <row r="12" spans="1:2" x14ac:dyDescent="0.3">
      <c r="A12" s="23">
        <v>8</v>
      </c>
      <c r="B12">
        <v>23</v>
      </c>
    </row>
    <row r="13" spans="1:2" x14ac:dyDescent="0.3">
      <c r="A13" s="23">
        <v>9</v>
      </c>
      <c r="B13">
        <v>9</v>
      </c>
    </row>
    <row r="14" spans="1:2" x14ac:dyDescent="0.3">
      <c r="A14" s="23">
        <v>10</v>
      </c>
      <c r="B14">
        <v>8</v>
      </c>
    </row>
    <row r="15" spans="1:2" x14ac:dyDescent="0.3">
      <c r="A15" s="23">
        <v>11</v>
      </c>
      <c r="B15">
        <v>11</v>
      </c>
    </row>
    <row r="16" spans="1:2" x14ac:dyDescent="0.3">
      <c r="A16" s="23">
        <v>12</v>
      </c>
      <c r="B16">
        <v>4</v>
      </c>
    </row>
    <row r="17" spans="1:2" x14ac:dyDescent="0.3">
      <c r="A17" s="23">
        <v>13</v>
      </c>
      <c r="B17">
        <v>10</v>
      </c>
    </row>
    <row r="18" spans="1:2" x14ac:dyDescent="0.3">
      <c r="A18" s="23">
        <v>14</v>
      </c>
      <c r="B18">
        <v>13</v>
      </c>
    </row>
    <row r="19" spans="1:2" x14ac:dyDescent="0.3">
      <c r="A19" s="23" t="s">
        <v>2564</v>
      </c>
      <c r="B19">
        <v>2400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F0201-A79F-443E-8E76-0CAA319C25F8}">
  <dimension ref="A3:G8"/>
  <sheetViews>
    <sheetView workbookViewId="0">
      <selection activeCell="AB8" sqref="AB8"/>
    </sheetView>
  </sheetViews>
  <sheetFormatPr defaultRowHeight="14.4" x14ac:dyDescent="0.3"/>
  <cols>
    <col min="1" max="1" width="12.21875" bestFit="1" customWidth="1"/>
    <col min="2" max="2" width="3" bestFit="1" customWidth="1"/>
    <col min="3" max="4" width="4" bestFit="1" customWidth="1"/>
    <col min="5" max="5" width="5" bestFit="1" customWidth="1"/>
    <col min="6" max="6" width="4" bestFit="1" customWidth="1"/>
    <col min="7" max="7" width="10.5546875" bestFit="1" customWidth="1"/>
    <col min="8" max="10" width="8" bestFit="1" customWidth="1"/>
    <col min="11" max="32" width="9" bestFit="1" customWidth="1"/>
    <col min="33" max="41" width="8.44140625" bestFit="1" customWidth="1"/>
    <col min="42" max="60" width="9.44140625" bestFit="1" customWidth="1"/>
    <col min="61" max="69" width="8.44140625" bestFit="1" customWidth="1"/>
    <col min="70" max="89" width="9.44140625" bestFit="1" customWidth="1"/>
    <col min="90" max="90" width="10.5546875" bestFit="1" customWidth="1"/>
  </cols>
  <sheetData>
    <row r="3" spans="1:7" x14ac:dyDescent="0.3">
      <c r="A3" s="22" t="s">
        <v>2552</v>
      </c>
    </row>
    <row r="4" spans="1:7" x14ac:dyDescent="0.3">
      <c r="B4">
        <v>1</v>
      </c>
      <c r="C4">
        <v>2</v>
      </c>
      <c r="D4">
        <v>3</v>
      </c>
      <c r="E4">
        <v>4</v>
      </c>
      <c r="F4">
        <v>5</v>
      </c>
      <c r="G4" t="s">
        <v>2564</v>
      </c>
    </row>
    <row r="5" spans="1:7" x14ac:dyDescent="0.3">
      <c r="A5" s="23" t="s">
        <v>2573</v>
      </c>
      <c r="B5">
        <v>7</v>
      </c>
      <c r="C5">
        <v>37</v>
      </c>
      <c r="D5">
        <v>150</v>
      </c>
      <c r="E5">
        <v>312</v>
      </c>
      <c r="F5">
        <v>224</v>
      </c>
      <c r="G5">
        <v>730</v>
      </c>
    </row>
    <row r="6" spans="1:7" x14ac:dyDescent="0.3">
      <c r="A6" s="23" t="s">
        <v>2574</v>
      </c>
      <c r="B6">
        <v>8</v>
      </c>
      <c r="C6">
        <v>51</v>
      </c>
      <c r="D6">
        <v>182</v>
      </c>
      <c r="E6">
        <v>373</v>
      </c>
      <c r="F6">
        <v>247</v>
      </c>
      <c r="G6">
        <v>861</v>
      </c>
    </row>
    <row r="7" spans="1:7" x14ac:dyDescent="0.3">
      <c r="A7" s="23" t="s">
        <v>2575</v>
      </c>
      <c r="B7">
        <v>6</v>
      </c>
      <c r="C7">
        <v>39</v>
      </c>
      <c r="D7">
        <v>163</v>
      </c>
      <c r="E7">
        <v>351</v>
      </c>
      <c r="F7">
        <v>250</v>
      </c>
      <c r="G7">
        <v>809</v>
      </c>
    </row>
    <row r="8" spans="1:7" x14ac:dyDescent="0.3">
      <c r="A8" s="23" t="s">
        <v>2564</v>
      </c>
      <c r="B8">
        <v>21</v>
      </c>
      <c r="C8">
        <v>127</v>
      </c>
      <c r="D8">
        <v>495</v>
      </c>
      <c r="E8">
        <v>1036</v>
      </c>
      <c r="F8">
        <v>721</v>
      </c>
      <c r="G8">
        <v>2400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U2401"/>
  <sheetViews>
    <sheetView topLeftCell="A2334" workbookViewId="0">
      <selection activeCell="AB8" sqref="AB8"/>
    </sheetView>
  </sheetViews>
  <sheetFormatPr defaultRowHeight="14.4" x14ac:dyDescent="0.3"/>
  <cols>
    <col min="2" max="2" width="19.109375" bestFit="1" customWidth="1"/>
    <col min="3" max="3" width="8.109375" bestFit="1" customWidth="1"/>
    <col min="4" max="4" width="9.109375" bestFit="1" customWidth="1"/>
    <col min="5" max="5" width="7.44140625" bestFit="1" customWidth="1"/>
    <col min="6" max="6" width="10" bestFit="1" customWidth="1"/>
    <col min="7" max="7" width="9.44140625" bestFit="1" customWidth="1"/>
    <col min="8" max="8" width="15.6640625" bestFit="1" customWidth="1"/>
    <col min="9" max="9" width="10.6640625" bestFit="1" customWidth="1"/>
    <col min="10" max="10" width="7.77734375" bestFit="1" customWidth="1"/>
    <col min="11" max="11" width="8.77734375" bestFit="1" customWidth="1"/>
    <col min="12" max="12" width="19.6640625" bestFit="1" customWidth="1"/>
    <col min="13" max="13" width="13.33203125" bestFit="1" customWidth="1"/>
    <col min="14" max="14" width="9.33203125" bestFit="1" customWidth="1"/>
    <col min="15" max="15" width="12.109375" bestFit="1" customWidth="1"/>
  </cols>
  <sheetData>
    <row r="1" spans="1:21" x14ac:dyDescent="0.3">
      <c r="A1" t="s">
        <v>0</v>
      </c>
      <c r="B1" t="s">
        <v>1</v>
      </c>
      <c r="C1" t="s">
        <v>2</v>
      </c>
      <c r="D1" t="s">
        <v>3</v>
      </c>
      <c r="E1" t="s">
        <v>4</v>
      </c>
      <c r="F1" t="s">
        <v>5</v>
      </c>
      <c r="G1" t="s">
        <v>6</v>
      </c>
      <c r="H1" t="s">
        <v>7</v>
      </c>
      <c r="I1" t="s">
        <v>8</v>
      </c>
      <c r="J1" t="s">
        <v>9</v>
      </c>
      <c r="K1" t="s">
        <v>10</v>
      </c>
      <c r="L1" t="s">
        <v>11</v>
      </c>
      <c r="M1" s="2" t="s">
        <v>12</v>
      </c>
      <c r="N1" s="2" t="s">
        <v>13</v>
      </c>
      <c r="O1" s="2" t="s">
        <v>14</v>
      </c>
    </row>
    <row r="2" spans="1:21" x14ac:dyDescent="0.3">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21" x14ac:dyDescent="0.3">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21" x14ac:dyDescent="0.3">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21" x14ac:dyDescent="0.3">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21" x14ac:dyDescent="0.3">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21" x14ac:dyDescent="0.3">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21" x14ac:dyDescent="0.3">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21" x14ac:dyDescent="0.3">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21" x14ac:dyDescent="0.3">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21" x14ac:dyDescent="0.3">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c r="S11" s="12"/>
      <c r="T11" s="13"/>
      <c r="U11" s="14"/>
    </row>
    <row r="12" spans="1:21" x14ac:dyDescent="0.3">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c r="S12" s="15"/>
      <c r="T12" s="16"/>
      <c r="U12" s="17"/>
    </row>
    <row r="13" spans="1:21" x14ac:dyDescent="0.3">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c r="S13" s="15"/>
      <c r="T13" s="16"/>
      <c r="U13" s="17"/>
    </row>
    <row r="14" spans="1:21" x14ac:dyDescent="0.3">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c r="S14" s="15"/>
      <c r="T14" s="16"/>
      <c r="U14" s="17"/>
    </row>
    <row r="15" spans="1:21" x14ac:dyDescent="0.3">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c r="S15" s="15"/>
      <c r="T15" s="16"/>
      <c r="U15" s="17"/>
    </row>
    <row r="16" spans="1:21" x14ac:dyDescent="0.3">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c r="S16" s="15"/>
      <c r="T16" s="16"/>
      <c r="U16" s="17"/>
    </row>
    <row r="17" spans="1:21" x14ac:dyDescent="0.3">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c r="S17" s="15"/>
      <c r="T17" s="16"/>
      <c r="U17" s="17"/>
    </row>
    <row r="18" spans="1:21" x14ac:dyDescent="0.3">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c r="S18" s="15"/>
      <c r="T18" s="16"/>
      <c r="U18" s="17"/>
    </row>
    <row r="19" spans="1:21" x14ac:dyDescent="0.3">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c r="S19" s="15"/>
      <c r="T19" s="16"/>
      <c r="U19" s="17"/>
    </row>
    <row r="20" spans="1:21" x14ac:dyDescent="0.3">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c r="S20" s="15"/>
      <c r="T20" s="16"/>
      <c r="U20" s="17"/>
    </row>
    <row r="21" spans="1:21" x14ac:dyDescent="0.3">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c r="S21" s="15"/>
      <c r="T21" s="16"/>
      <c r="U21" s="17"/>
    </row>
    <row r="22" spans="1:21" x14ac:dyDescent="0.3">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c r="S22" s="15"/>
      <c r="T22" s="16"/>
      <c r="U22" s="17"/>
    </row>
    <row r="23" spans="1:21" x14ac:dyDescent="0.3">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c r="S23" s="15"/>
      <c r="T23" s="16"/>
      <c r="U23" s="17"/>
    </row>
    <row r="24" spans="1:21" x14ac:dyDescent="0.3">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c r="S24" s="15"/>
      <c r="T24" s="16"/>
      <c r="U24" s="17"/>
    </row>
    <row r="25" spans="1:21" x14ac:dyDescent="0.3">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c r="S25" s="15"/>
      <c r="T25" s="16"/>
      <c r="U25" s="17"/>
    </row>
    <row r="26" spans="1:21" x14ac:dyDescent="0.3">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c r="S26" s="15"/>
      <c r="T26" s="16"/>
      <c r="U26" s="17"/>
    </row>
    <row r="27" spans="1:21" x14ac:dyDescent="0.3">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c r="S27" s="15"/>
      <c r="T27" s="16"/>
      <c r="U27" s="17"/>
    </row>
    <row r="28" spans="1:21" x14ac:dyDescent="0.3">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c r="S28" s="18"/>
      <c r="T28" s="19"/>
      <c r="U28" s="20"/>
    </row>
    <row r="29" spans="1:21" x14ac:dyDescent="0.3">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21" x14ac:dyDescent="0.3">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21" x14ac:dyDescent="0.3">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21" x14ac:dyDescent="0.3">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3">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3">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3">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3">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3">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3">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3">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3">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3">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3">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3">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3">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3">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3">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3">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3">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3">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3">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3">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3">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3">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3">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3">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3">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3">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3">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3">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3">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3">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3">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3">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3">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3">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3">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3">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3">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3">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3">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3">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3">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3">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3">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3">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3">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3">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3">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3">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3">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3">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3">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3">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3">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3">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3">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3">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3">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3">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3">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3">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3">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3">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3">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3">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3">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3">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3">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3">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3">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3">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3">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3">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3">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3">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3">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3">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3">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3">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3">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3">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3">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3">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3">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3">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3">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3">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3">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3">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3">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3">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3">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3">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3">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3">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3">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3">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3">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3">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3">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3">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3">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3">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3">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3">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3">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3">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3">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3">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3">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3">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3">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3">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3">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3">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3">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3">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3">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3">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3">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3">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3">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3">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3">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3">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3">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3">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3">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3">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3">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3">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3">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3">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3">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3">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3">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3">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3">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3">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3">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3">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3">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3">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3">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3">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3">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3">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3">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3">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3">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3">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3">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3">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3">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3">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3">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3">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3">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3">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3">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3">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3">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3">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3">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3">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3">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3">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3">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3">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3">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3">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3">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3">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3">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3">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3">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3">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3">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3">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3">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3">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3">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3">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3">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3">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3">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3">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3">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3">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3">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3">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3">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3">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3">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3">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3">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3">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3">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3">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3">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3">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3">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3">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3">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3">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3">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3">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3">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3">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3">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3">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3">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3">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3">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3">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3">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3">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3">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3">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3">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3">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3">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3">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3">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3">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3">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3">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3">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3">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3">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3">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3">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3">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3">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3">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3">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3">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3">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3">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3">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3">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3">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3">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3">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3">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3">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3">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3">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3">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3">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3">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3">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3">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3">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3">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3">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3">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3">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3">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3">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3">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3">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3">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3">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3">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3">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3">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3">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3">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3">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3">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3">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3">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3">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3">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3">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3">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3">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3">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3">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3">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3">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3">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3">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3">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3">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3">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3">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3">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3">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3">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3">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3">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3">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3">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3">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3">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3">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3">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3">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3">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3">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3">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3">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3">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3">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3">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3">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3">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3">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3">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3">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3">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3">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3">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3">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3">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3">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3">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3">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3">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3">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3">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3">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3">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3">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3">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3">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3">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3">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3">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3">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3">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3">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3">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3">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3">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3">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3">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3">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3">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3">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3">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3">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3">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3">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3">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3">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3">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3">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3">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3">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3">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3">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3">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3">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3">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3">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3">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3">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3">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3">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3">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3">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3">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3">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3">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3">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3">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3">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3">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3">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3">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3">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3">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3">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3">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3">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3">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3">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3">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3">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3">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3">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3">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3">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3">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3">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3">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3">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3">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3">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3">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3">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3">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3">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3">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3">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3">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3">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3">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3">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3">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3">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3">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3">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3">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3">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3">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3">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3">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3">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3">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3">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3">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3">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3">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3">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3">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3">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3">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3">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3">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3">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3">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3">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3">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3">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3">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3">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3">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3">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3">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3">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3">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3">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3">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3">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3">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3">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3">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3">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3">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3">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3">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3">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3">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3">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3">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3">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3">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3">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3">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3">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3">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3">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3">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3">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3">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3">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3">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3">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3">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3">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3">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3">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3">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3">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3">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3">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3">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3">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3">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3">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3">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3">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3">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3">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3">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3">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3">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3">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3">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3">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3">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3">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3">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3">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3">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3">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3">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3">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3">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3">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3">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3">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3">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3">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3">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3">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3">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3">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3">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3">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3">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3">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3">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3">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3">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3">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3">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3">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3">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3">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3">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3">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3">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3">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3">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3">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3">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3">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3">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3">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3">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3">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3">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3">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3">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3">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3">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3">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3">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3">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3">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3">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3">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3">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3">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3">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3">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3">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3">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3">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3">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3">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3">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3">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3">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3">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3">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3">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3">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3">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3">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3">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3">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3">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3">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3">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3">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3">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3">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3">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3">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3">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3">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3">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3">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3">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3">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3">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3">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3">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3">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3">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3">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3">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3">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3">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3">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3">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3">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3">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3">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3">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3">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3">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3">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3">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3">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3">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3">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3">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3">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3">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3">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3">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3">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3">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3">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3">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3">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3">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3">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3">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3">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3">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3">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3">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3">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3">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3">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3">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3">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3">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3">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3">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3">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3">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3">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3">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3">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3">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3">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3">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3">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3">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3">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3">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3">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3">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3">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3">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3">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3">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3">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3">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3">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3">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3">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3">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3">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3">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3">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3">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3">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3">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3">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3">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3">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3">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3">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3">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3">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3">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3">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3">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3">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3">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3">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3">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3">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3">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3">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3">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3">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3">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3">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3">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3">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3">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3">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3">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3">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3">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3">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3">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3">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3">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3">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3">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3">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3">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3">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3">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3">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3">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3">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3">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3">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3">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3">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3">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3">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3">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3">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3">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3">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3">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3">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3">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3">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3">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3">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3">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3">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3">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3">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3">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3">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3">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3">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3">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3">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3">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3">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3">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3">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3">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3">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3">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3">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3">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3">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3">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3">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3">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3">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3">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3">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3">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3">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3">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3">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3">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3">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3">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3">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3">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3">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3">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3">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3">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3">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3">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3">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3">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3">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3">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3">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3">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3">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3">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3">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3">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3">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3">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3">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3">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3">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3">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3">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3">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3">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3">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3">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3">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3">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3">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3">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3">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3">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3">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3">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3">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3">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3">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3">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3">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3">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3">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3">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3">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3">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3">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3">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3">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3">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3">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3">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3">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3">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3">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3">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3">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3">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3">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3">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3">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3">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3">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3">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3">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3">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3">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3">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3">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3">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3">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3">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3">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3">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3">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3">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3">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3">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3">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3">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3">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3">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3">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3">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3">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3">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3">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3">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3">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3">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3">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3">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3">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3">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3">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3">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3">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3">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3">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3">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3">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3">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3">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3">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3">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3">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3">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3">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3">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3">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3">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3">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3">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3">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3">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3">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3">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3">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3">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3">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3">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3">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3">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3">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3">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3">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3">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3">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3">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3">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3">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3">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3">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3">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3">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3">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3">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3">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3">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3">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3">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3">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3">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3">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3">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3">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3">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3">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3">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3">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3">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3">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3">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3">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3">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3">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3">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3">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3">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3">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3">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3">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3">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3">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3">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3">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3">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3">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3">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3">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3">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3">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3">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3">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3">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3">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3">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3">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3">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3">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3">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3">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3">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3">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3">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3">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3">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3">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3">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3">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3">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3">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3">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3">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3">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3">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3">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3">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3">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3">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3">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3">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3">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3">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3">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3">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3">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3">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3">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3">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3">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3">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3">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3">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3">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3">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3">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3">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3">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3">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3">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3">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3">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3">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3">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3">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3">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3">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3">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3">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3">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3">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3">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3">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3">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3">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3">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3">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3">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3">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3">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3">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3">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3">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3">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3">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3">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3">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3">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3">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3">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3">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3">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3">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3">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3">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3">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3">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3">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3">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3">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3">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3">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3">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3">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3">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3">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3">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3">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3">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3">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3">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3">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3">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3">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3">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3">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3">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3">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3">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3">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3">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3">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3">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3">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3">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3">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3">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3">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3">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3">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3">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3">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3">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3">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3">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3">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3">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3">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3">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3">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3">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3">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3">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3">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3">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3">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3">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3">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3">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3">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3">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3">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3">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3">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3">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3">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3">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3">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3">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3">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3">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3">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3">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3">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3">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3">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3">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3">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3">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3">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3">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3">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3">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3">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3">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3">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3">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3">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3">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3">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3">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3">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3">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3">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3">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3">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3">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3">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3">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3">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3">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3">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3">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3">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3">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3">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3">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3">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3">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3">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3">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3">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3">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3">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3">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3">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3">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3">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3">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3">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3">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3">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3">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3">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3">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3">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3">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3">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3">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3">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3">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3">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3">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3">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3">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3">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3">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3">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3">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3">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3">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3">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3">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3">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3">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3">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3">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3">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3">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3">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3">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3">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3">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3">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3">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3">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3">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3">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3">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3">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3">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3">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3">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3">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3">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3">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3">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3">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3">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3">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3">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3">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3">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3">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3">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3">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3">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3">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3">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3">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3">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3">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3">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3">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3">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3">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3">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3">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3">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3">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3">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3">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3">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3">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3">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3">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3">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3">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3">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3">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3">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3">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3">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3">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3">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3">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3">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3">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3">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3">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3">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3">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3">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3">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3">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3">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3">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3">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3">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3">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3">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3">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3">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3">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3">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3">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3">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3">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3">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3">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3">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3">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3">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3">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3">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3">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3">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3">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3">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3">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3">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3">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3">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3">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3">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3">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3">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3">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3">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3">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3">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3">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3">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3">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3">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3">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3">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3">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3">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3">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3">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3">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3">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3">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3">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3">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3">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3">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3">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3">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3">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3">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3">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3">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3">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3">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3">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3">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3">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3">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3">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3">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3">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3">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3">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3">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3">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3">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3">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3">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3">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3">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3">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3">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3">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3">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3">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3">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3">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3">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3">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3">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3">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3">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3">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3">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3">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3">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3">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3">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3">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3">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3">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3">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3">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3">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3">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3">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3">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3">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3">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3">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3">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3">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3">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3">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3">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3">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3">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3">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3">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3">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3">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3">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3">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3">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3">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3">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3">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3">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3">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3">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3">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3">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3">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3">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3">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3">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3">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3">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3">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3">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3">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3">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3">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3">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3">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3">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3">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3">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3">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3">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3">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3">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3">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3">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3">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3">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3">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3">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3">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3">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3">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3">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3">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3">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3">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3">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3">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3">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3">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3">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3">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3">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3">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3">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3">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3">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3">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3">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3">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3">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3">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3">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3">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3">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3">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3">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3">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3">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3">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3">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3">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3">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3">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3">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3">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3">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3">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3">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3">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3">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3">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3">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3">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3">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3">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3">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3">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3">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3">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3">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3">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3">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3">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3">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3">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3">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3">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3">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3">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3">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3">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3">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3">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3">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3">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3">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3">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3">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3">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3">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3">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3">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3">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3">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3">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3">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3">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3">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3">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3">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3">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3">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3">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3">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3">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3">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3">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3">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3">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3">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3">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3">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3">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3">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3">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3">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3">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3">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3">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3">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3">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3">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3">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3">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3">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3">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3">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3">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3">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3">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3">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3">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3">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3">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3">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3">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3">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3">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3">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3">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3">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3">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3">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3">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3">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3">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3">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3">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3">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3">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3">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3">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3">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3">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3">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3">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3">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3">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3">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3">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3">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3">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3">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3">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3">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3">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3">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3">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3">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3">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3">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3">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3">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3">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3">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3">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3">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3">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3">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3">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3">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3">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3">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3">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3">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3">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3">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3">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3">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3">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3">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3">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3">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3">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3">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3">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3">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3">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3">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3">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3">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3">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3">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3">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3">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3">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3">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3">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3">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3">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3">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3">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3">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3">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3">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3">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3">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3">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3">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3">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3">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3">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3">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3">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3">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3">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3">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3">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3">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3">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3">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3">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3">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3">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3">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3">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3">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3">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3">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3">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3">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3">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3">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3">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3">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3">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3">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3">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3">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3">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3">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3">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3">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3">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3">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3">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3">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3">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3">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3">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3">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3">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3">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3">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3">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3">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3">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3">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3">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3">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3">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3">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3">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3">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3">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3">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3">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3">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3">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3">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3">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3">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3">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3">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3">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3">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3">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3">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3">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3">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3">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3">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3">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3">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3">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3">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3">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3">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3">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3">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3">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3">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3">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3">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3">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3">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3">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3">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3">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3">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3">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3">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3">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3">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3">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3">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3">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3">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3">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3">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3">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3">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3">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3">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3">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3">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3">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3">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3">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3">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3">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3">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3">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3">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3">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3">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3">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3">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3">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3">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3">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3">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3">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3">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3">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3">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3">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3">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3">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3">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3">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3">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3">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3">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3">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3">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3">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3">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3">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3">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3">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3">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3">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3">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3">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3">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3">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3">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3">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3">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3">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3">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3">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3">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3">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3">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3">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3">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3">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3">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3">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3">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3">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3">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3">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3">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3">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3">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3">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3">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3">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3">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3">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3">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3">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3">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3">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3">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3">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3">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3">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3">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3">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3">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3">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3">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3">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3">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3">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3">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3">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3">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3">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3">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3">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3">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3">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3">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3">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3">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3">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3">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3">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3">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3">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3">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3">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3">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3">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3">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3">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3">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3">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3">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3">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3">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3">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3">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3">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3">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3">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3">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3">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3">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3">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3">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3">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3">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3">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3">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3">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3">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3">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3">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3">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3">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3">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3">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3">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3">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3">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3">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3">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3">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3">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3">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3">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3">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3">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3">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3">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3">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3">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3">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3">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3">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3">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3">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3">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3">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3">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3">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3">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3">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3">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3">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3">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3">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3">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3">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3">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3">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3">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3">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3">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3">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3">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3">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3">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3">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3">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3">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3">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3">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3">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3">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3">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3">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3">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3">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3">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3">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3">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3">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3">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3">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3">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3">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3">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3">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3">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3">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3">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3">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3">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3">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3">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3">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3">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3">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3">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3">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3">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3">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3">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3">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3">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3">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3">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3">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3">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3">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3">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3">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3">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3">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3">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3">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3">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3">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3">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3">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3">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3">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3">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3">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3">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3">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3">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3">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3">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3">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3">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3">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3">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3">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3">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3">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3">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3">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3">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3">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3">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3">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3">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3">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3">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3">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3">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3">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3">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3">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3">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3">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3">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3">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3">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3">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3">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3">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3">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3">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3">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3">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3">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3">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3">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3">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3">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3">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3">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3">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3">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3">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3">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3">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3">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3">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3">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3">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3">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3">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3">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3">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3">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3">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3">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3">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3">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3">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3">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3">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3">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3">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3">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3">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3">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3">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3">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3">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3">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3">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3">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3">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3">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3">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3">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3">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3">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3">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3">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3">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3">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3">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3">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3">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3">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3">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3">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3">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3">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3">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3">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3">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3">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3">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3">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3">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3">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3">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3">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3">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3">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3">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3">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3">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3">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3">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3">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3">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3">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3">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3">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3">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3">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3">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3">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3">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3">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3">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3">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3">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3">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3">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3">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3">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3">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3">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3">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3">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3">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3">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3">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3">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3">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3">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3">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3">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3">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3">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3">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3">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3">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3">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3">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3">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3">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3">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3">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3">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3">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3">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3">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3">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3">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3">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3">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3">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3">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3">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3">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3">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3">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3">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3">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3">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3">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3">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3">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3">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3">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3">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3">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3">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3">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3">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3">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3">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3">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3">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3">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3">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3">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3">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3">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3">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3">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3">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3">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3">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3">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3">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3">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3">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3">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3">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3">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3">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3">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3">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3">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3">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3">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3">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3">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3">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3">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3">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3">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3">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3">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3">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3">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3">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3">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3">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3">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3">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3">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3">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3">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3">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3">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3">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3">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3">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3">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3">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3">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3">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3">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3">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3">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3">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3">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3">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3">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3">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3">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3">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3">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3">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3">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3">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3">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3">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3">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3">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3">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3">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3">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3">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3">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3">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3">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3">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3">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3">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3">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3">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3">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3">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3">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3">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3">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3">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3">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3">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3">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3">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3">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3">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3">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3">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3">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3">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3">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3">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3">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3">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3">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3">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3">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3">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3">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3">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3">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3">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3">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3">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3">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3">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3">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3">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3">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3">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3">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3">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3">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3">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3">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3">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3">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3">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3">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3">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3">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3">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3">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3">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3">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3">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3">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3">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3">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3">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3">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3">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3">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3">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3">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3">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3">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3">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3">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3">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3">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3">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3">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3">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3">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3">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3">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3">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3">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3">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3">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3">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3">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3">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3">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3">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3">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3">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3">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3">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3">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3">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3">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3">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3">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3">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3">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3">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3">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3">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3">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3">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3">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3">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3">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3">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3">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3">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3">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3">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3">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3">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3">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3">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3">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3">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3">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3">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3">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3">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3">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3">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3">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3">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3">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3">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3">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3">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3">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3">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3">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3">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3">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3">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3">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3">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3">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3">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3">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3">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3">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3">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3">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3">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3">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3">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3">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3">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3">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3">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3">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3">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3">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3">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3">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3">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3">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3">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3">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3">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3">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3">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3">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3">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3">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3">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3">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3">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3">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3">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3">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3">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3">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3">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3">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3">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3">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3">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3">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3">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3">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3">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3">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3">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3">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3">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3">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3">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3">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3">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3">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3">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3">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3">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3">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3">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3">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3">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3">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3">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3">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3">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3">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3">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3">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3">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3">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3">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3">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3">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3">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3">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3">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8"/>
  <sheetViews>
    <sheetView workbookViewId="0">
      <selection activeCell="B18" sqref="B18"/>
    </sheetView>
  </sheetViews>
  <sheetFormatPr defaultRowHeight="14.4" x14ac:dyDescent="0.3"/>
  <cols>
    <col min="1" max="1" width="3.6640625" customWidth="1"/>
    <col min="2" max="2" width="52.77734375" customWidth="1"/>
  </cols>
  <sheetData>
    <row r="2" spans="2:2" x14ac:dyDescent="0.3">
      <c r="B2" s="3" t="s">
        <v>2503</v>
      </c>
    </row>
    <row r="3" spans="2:2" x14ac:dyDescent="0.3">
      <c r="B3" s="4" t="s">
        <v>2504</v>
      </c>
    </row>
    <row r="4" spans="2:2" x14ac:dyDescent="0.3">
      <c r="B4" s="4" t="s">
        <v>2505</v>
      </c>
    </row>
    <row r="5" spans="2:2" x14ac:dyDescent="0.3">
      <c r="B5" s="4" t="s">
        <v>2506</v>
      </c>
    </row>
    <row r="6" spans="2:2" x14ac:dyDescent="0.3">
      <c r="B6" s="4" t="s">
        <v>2507</v>
      </c>
    </row>
    <row r="7" spans="2:2" x14ac:dyDescent="0.3">
      <c r="B7" s="4" t="s">
        <v>2508</v>
      </c>
    </row>
    <row r="10" spans="2:2" x14ac:dyDescent="0.3">
      <c r="B10" s="3" t="s">
        <v>2509</v>
      </c>
    </row>
    <row r="11" spans="2:2" x14ac:dyDescent="0.3">
      <c r="B11" t="s">
        <v>2510</v>
      </c>
    </row>
    <row r="12" spans="2:2" x14ac:dyDescent="0.3">
      <c r="B12" t="s">
        <v>2511</v>
      </c>
    </row>
    <row r="13" spans="2:2" x14ac:dyDescent="0.3">
      <c r="B13" t="s">
        <v>2512</v>
      </c>
    </row>
    <row r="14" spans="2:2" x14ac:dyDescent="0.3">
      <c r="B14" t="s">
        <v>2513</v>
      </c>
    </row>
    <row r="15" spans="2:2" x14ac:dyDescent="0.3">
      <c r="B15" t="s">
        <v>2514</v>
      </c>
    </row>
    <row r="16" spans="2:2" x14ac:dyDescent="0.3">
      <c r="B16" t="s">
        <v>2515</v>
      </c>
    </row>
    <row r="17" spans="2:2" x14ac:dyDescent="0.3">
      <c r="B17" t="s">
        <v>2516</v>
      </c>
    </row>
    <row r="18" spans="2:2" x14ac:dyDescent="0.3">
      <c r="B18" t="s">
        <v>2517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8FF67-6F2A-40D1-BD8F-FC8AD44723FB}">
  <dimension ref="A1"/>
  <sheetViews>
    <sheetView showGridLines="0" tabSelected="1" zoomScale="60" zoomScaleNormal="60" workbookViewId="0">
      <selection activeCell="AG12" sqref="AG12"/>
    </sheetView>
  </sheetViews>
  <sheetFormatPr defaultRowHeight="14.4" x14ac:dyDescent="0.3"/>
  <cols>
    <col min="1" max="1" width="3.33203125" customWidth="1"/>
    <col min="2" max="2" width="22.21875" customWidth="1"/>
    <col min="3" max="4" width="3.33203125" customWidth="1"/>
    <col min="26" max="26" width="3.33203125" customWidth="1"/>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23EA0-A5F5-429E-86D9-E7351900E872}">
  <dimension ref="A2:K25"/>
  <sheetViews>
    <sheetView workbookViewId="0">
      <selection activeCell="C12" sqref="C12"/>
    </sheetView>
  </sheetViews>
  <sheetFormatPr defaultRowHeight="14.4" x14ac:dyDescent="0.3"/>
  <cols>
    <col min="1" max="1" width="12.44140625" bestFit="1" customWidth="1"/>
    <col min="2" max="2" width="14.21875" bestFit="1" customWidth="1"/>
    <col min="3" max="3" width="13.5546875" bestFit="1" customWidth="1"/>
    <col min="4" max="4" width="16.6640625" bestFit="1" customWidth="1"/>
    <col min="5" max="5" width="22.33203125" bestFit="1" customWidth="1"/>
  </cols>
  <sheetData>
    <row r="2" spans="1:11" x14ac:dyDescent="0.3">
      <c r="G2" t="s">
        <v>2557</v>
      </c>
    </row>
    <row r="3" spans="1:11" x14ac:dyDescent="0.3">
      <c r="A3" t="s">
        <v>2552</v>
      </c>
      <c r="B3" t="s">
        <v>2553</v>
      </c>
      <c r="C3" t="s">
        <v>2554</v>
      </c>
      <c r="D3" t="s">
        <v>2555</v>
      </c>
      <c r="E3" t="s">
        <v>2556</v>
      </c>
      <c r="G3" t="s">
        <v>2558</v>
      </c>
      <c r="H3" t="s">
        <v>2559</v>
      </c>
      <c r="I3" t="s">
        <v>2560</v>
      </c>
      <c r="J3" t="s">
        <v>2561</v>
      </c>
      <c r="K3" t="s">
        <v>2562</v>
      </c>
    </row>
    <row r="4" spans="1:11" x14ac:dyDescent="0.3">
      <c r="A4">
        <v>2400</v>
      </c>
      <c r="B4">
        <v>11997</v>
      </c>
      <c r="C4">
        <v>649019.80000000144</v>
      </c>
      <c r="D4">
        <v>3.9620833333333332</v>
      </c>
      <c r="E4">
        <v>2.3424999999999998</v>
      </c>
      <c r="G4" t="str">
        <f>TEXT(A4,"#,##")</f>
        <v>2,400</v>
      </c>
      <c r="H4" t="str">
        <f t="shared" ref="H4" si="0">TEXT(B4,"#,##")</f>
        <v>11,997</v>
      </c>
      <c r="I4" t="str">
        <f>TEXT(C4,"$#,##,.0k")</f>
        <v>$649.0k</v>
      </c>
      <c r="J4" t="str">
        <f>TEXT(D4,"0.0")</f>
        <v>4.0</v>
      </c>
      <c r="K4" t="str">
        <f>TEXT(E4,"0.0")</f>
        <v>2.3</v>
      </c>
    </row>
    <row r="11" spans="1:11" x14ac:dyDescent="0.3">
      <c r="A11" s="22" t="s">
        <v>2563</v>
      </c>
      <c r="B11" t="s">
        <v>2553</v>
      </c>
      <c r="C11" t="s">
        <v>2554</v>
      </c>
    </row>
    <row r="12" spans="1:11" x14ac:dyDescent="0.3">
      <c r="A12" s="23">
        <v>1</v>
      </c>
      <c r="B12">
        <v>546</v>
      </c>
      <c r="C12" s="24">
        <v>32413.300000000003</v>
      </c>
    </row>
    <row r="13" spans="1:11" x14ac:dyDescent="0.3">
      <c r="A13" s="23">
        <v>2</v>
      </c>
      <c r="B13">
        <v>905</v>
      </c>
      <c r="C13" s="24">
        <v>49562.999999999993</v>
      </c>
    </row>
    <row r="14" spans="1:11" x14ac:dyDescent="0.3">
      <c r="A14" s="23">
        <v>3</v>
      </c>
      <c r="B14">
        <v>796</v>
      </c>
      <c r="C14" s="24">
        <v>41700.400000000016</v>
      </c>
    </row>
    <row r="15" spans="1:11" x14ac:dyDescent="0.3">
      <c r="A15" s="23">
        <v>4</v>
      </c>
      <c r="B15">
        <v>913</v>
      </c>
      <c r="C15" s="24">
        <v>46782.599999999984</v>
      </c>
    </row>
    <row r="16" spans="1:11" x14ac:dyDescent="0.3">
      <c r="A16" s="23">
        <v>5</v>
      </c>
      <c r="B16">
        <v>844</v>
      </c>
      <c r="C16" s="24">
        <v>42676.100000000006</v>
      </c>
    </row>
    <row r="17" spans="1:3" x14ac:dyDescent="0.3">
      <c r="A17" s="23">
        <v>6</v>
      </c>
      <c r="B17">
        <v>1202</v>
      </c>
      <c r="C17" s="24">
        <v>62910.7</v>
      </c>
    </row>
    <row r="18" spans="1:3" x14ac:dyDescent="0.3">
      <c r="A18" s="23">
        <v>7</v>
      </c>
      <c r="B18">
        <v>935</v>
      </c>
      <c r="C18" s="24">
        <v>50332.200000000004</v>
      </c>
    </row>
    <row r="19" spans="1:3" x14ac:dyDescent="0.3">
      <c r="A19" s="23">
        <v>8</v>
      </c>
      <c r="B19">
        <v>1128</v>
      </c>
      <c r="C19" s="24">
        <v>58760.599999999977</v>
      </c>
    </row>
    <row r="20" spans="1:3" x14ac:dyDescent="0.3">
      <c r="A20" s="23">
        <v>9</v>
      </c>
      <c r="B20">
        <v>1007</v>
      </c>
      <c r="C20" s="24">
        <v>52017.299999999996</v>
      </c>
    </row>
    <row r="21" spans="1:3" x14ac:dyDescent="0.3">
      <c r="A21" s="23">
        <v>10</v>
      </c>
      <c r="B21">
        <v>1128</v>
      </c>
      <c r="C21" s="24">
        <v>64915.700000000033</v>
      </c>
    </row>
    <row r="22" spans="1:3" x14ac:dyDescent="0.3">
      <c r="A22" s="23">
        <v>11</v>
      </c>
      <c r="B22">
        <v>861</v>
      </c>
      <c r="C22" s="24">
        <v>45943.80000000001</v>
      </c>
    </row>
    <row r="23" spans="1:3" x14ac:dyDescent="0.3">
      <c r="A23" s="23">
        <v>12</v>
      </c>
      <c r="B23">
        <v>944</v>
      </c>
      <c r="C23" s="24">
        <v>55077.900000000031</v>
      </c>
    </row>
    <row r="24" spans="1:3" x14ac:dyDescent="0.3">
      <c r="A24" s="23">
        <v>13</v>
      </c>
      <c r="B24">
        <v>788</v>
      </c>
      <c r="C24" s="24">
        <v>45926.19999999999</v>
      </c>
    </row>
    <row r="25" spans="1:3" x14ac:dyDescent="0.3">
      <c r="A25" s="23" t="s">
        <v>2564</v>
      </c>
      <c r="B25">
        <v>11997</v>
      </c>
      <c r="C25" s="24">
        <v>649019.79999999993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1D30B-60E4-4685-B421-10EFD7769A97}">
  <dimension ref="B2:H24"/>
  <sheetViews>
    <sheetView workbookViewId="0">
      <selection activeCell="L9" sqref="L9"/>
    </sheetView>
  </sheetViews>
  <sheetFormatPr defaultRowHeight="14.4" x14ac:dyDescent="0.3"/>
  <cols>
    <col min="1" max="1" width="3.33203125" customWidth="1"/>
    <col min="8" max="8" width="37.33203125" customWidth="1"/>
  </cols>
  <sheetData>
    <row r="2" spans="2:8" x14ac:dyDescent="0.3">
      <c r="H2" t="s">
        <v>2548</v>
      </c>
    </row>
    <row r="3" spans="2:8" x14ac:dyDescent="0.3">
      <c r="B3" t="s">
        <v>2518</v>
      </c>
    </row>
    <row r="4" spans="2:8" x14ac:dyDescent="0.3">
      <c r="H4" s="11" t="s">
        <v>2549</v>
      </c>
    </row>
    <row r="5" spans="2:8" x14ac:dyDescent="0.3">
      <c r="B5" t="s">
        <v>2519</v>
      </c>
      <c r="H5" s="11" t="s">
        <v>2550</v>
      </c>
    </row>
    <row r="6" spans="2:8" x14ac:dyDescent="0.3">
      <c r="B6" s="5"/>
      <c r="C6" t="s">
        <v>2520</v>
      </c>
      <c r="D6" t="s">
        <v>2526</v>
      </c>
      <c r="H6" t="s">
        <v>2551</v>
      </c>
    </row>
    <row r="7" spans="2:8" x14ac:dyDescent="0.3">
      <c r="B7" s="6"/>
      <c r="C7" t="s">
        <v>2521</v>
      </c>
      <c r="D7" t="s">
        <v>2527</v>
      </c>
    </row>
    <row r="8" spans="2:8" x14ac:dyDescent="0.3">
      <c r="B8" s="7"/>
      <c r="C8" t="s">
        <v>2522</v>
      </c>
      <c r="D8" t="s">
        <v>2528</v>
      </c>
    </row>
    <row r="9" spans="2:8" x14ac:dyDescent="0.3">
      <c r="B9" s="8"/>
      <c r="C9" t="s">
        <v>2523</v>
      </c>
      <c r="D9" t="s">
        <v>2529</v>
      </c>
    </row>
    <row r="10" spans="2:8" x14ac:dyDescent="0.3">
      <c r="B10" s="9"/>
      <c r="C10" t="s">
        <v>2524</v>
      </c>
      <c r="D10" t="s">
        <v>2530</v>
      </c>
    </row>
    <row r="11" spans="2:8" x14ac:dyDescent="0.3">
      <c r="B11" s="2"/>
      <c r="C11" t="s">
        <v>2525</v>
      </c>
      <c r="D11" t="s">
        <v>2531</v>
      </c>
    </row>
    <row r="13" spans="2:8" x14ac:dyDescent="0.3">
      <c r="B13" t="s">
        <v>2532</v>
      </c>
    </row>
    <row r="14" spans="2:8" x14ac:dyDescent="0.3">
      <c r="B14" t="s">
        <v>2533</v>
      </c>
      <c r="C14" t="s">
        <v>2538</v>
      </c>
    </row>
    <row r="15" spans="2:8" x14ac:dyDescent="0.3">
      <c r="B15" t="s">
        <v>2534</v>
      </c>
      <c r="C15" t="s">
        <v>2</v>
      </c>
    </row>
    <row r="16" spans="2:8" x14ac:dyDescent="0.3">
      <c r="B16" t="s">
        <v>2535</v>
      </c>
      <c r="C16" t="s">
        <v>4</v>
      </c>
    </row>
    <row r="17" spans="2:3" x14ac:dyDescent="0.3">
      <c r="B17" t="s">
        <v>2536</v>
      </c>
      <c r="C17" t="s">
        <v>2539</v>
      </c>
    </row>
    <row r="18" spans="2:3" x14ac:dyDescent="0.3">
      <c r="B18" t="s">
        <v>2537</v>
      </c>
      <c r="C18" t="s">
        <v>2540</v>
      </c>
    </row>
    <row r="21" spans="2:3" x14ac:dyDescent="0.3">
      <c r="B21" t="s">
        <v>2541</v>
      </c>
    </row>
    <row r="22" spans="2:3" x14ac:dyDescent="0.3">
      <c r="B22" t="s">
        <v>2542</v>
      </c>
      <c r="C22" t="s">
        <v>2543</v>
      </c>
    </row>
    <row r="23" spans="2:3" x14ac:dyDescent="0.3">
      <c r="B23" t="s">
        <v>2544</v>
      </c>
      <c r="C23" t="s">
        <v>2545</v>
      </c>
    </row>
    <row r="24" spans="2:3" x14ac:dyDescent="0.3">
      <c r="B24" s="10" t="s">
        <v>2546</v>
      </c>
      <c r="C24" t="s">
        <v>2547</v>
      </c>
    </row>
  </sheetData>
  <phoneticPr fontId="2" type="noConversion"/>
  <hyperlinks>
    <hyperlink ref="H4" r:id="rId1" xr:uid="{A77862B0-B580-43DF-9272-7B32B5A35427}"/>
    <hyperlink ref="H5" r:id="rId2" xr:uid="{602AE8E3-2587-4F74-A241-C4690768D1EC}"/>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Sheet3</vt:lpstr>
      <vt:lpstr>Sheet4</vt:lpstr>
      <vt:lpstr>Sheet5</vt:lpstr>
      <vt:lpstr>Sheet6</vt:lpstr>
      <vt:lpstr>Sheet7</vt:lpstr>
      <vt:lpstr>Sheet8</vt:lpstr>
      <vt:lpstr>Data</vt:lpstr>
      <vt:lpstr>Questions &amp; KPIs</vt:lpstr>
      <vt:lpstr>Dashboard</vt:lpstr>
      <vt:lpstr>pivot</vt:lpstr>
      <vt:lpstr>Logo &amp; Colors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Aditya Boruah</cp:lastModifiedBy>
  <dcterms:created xsi:type="dcterms:W3CDTF">2025-06-13T02:42:26Z</dcterms:created>
  <dcterms:modified xsi:type="dcterms:W3CDTF">2026-02-19T16:51:47Z</dcterms:modified>
</cp:coreProperties>
</file>